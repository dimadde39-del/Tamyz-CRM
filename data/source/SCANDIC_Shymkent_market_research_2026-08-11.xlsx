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ERM\outputs\019fefef-a753-7430-90dd-fe5701ea6bf5\"/>
    </mc:Choice>
  </mc:AlternateContent>
  <xr:revisionPtr revIDLastSave="0" documentId="13_ncr:1_{0C87DB1D-4D2D-43E5-82FB-21E7602AAB4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Резюме" sheetId="1" r:id="rId1"/>
    <sheet name="Торговые точки" sheetId="2" r:id="rId2"/>
    <sheet name="Компании и сети" sheetId="3" r:id="rId3"/>
    <sheet name="Дилеры" sheetId="4" r:id="rId4"/>
    <sheet name="Оценка рынка" sheetId="5" r:id="rId5"/>
    <sheet name="Источники" sheetId="6" r:id="rId6"/>
    <sheet name="Методология" sheetId="7" r:id="rId7"/>
  </sheets>
  <calcPr calcId="191029"/>
</workbook>
</file>

<file path=xl/calcChain.xml><?xml version="1.0" encoding="utf-8"?>
<calcChain xmlns="http://schemas.openxmlformats.org/spreadsheetml/2006/main">
  <c r="K25" i="1" l="1"/>
  <c r="G22" i="5"/>
  <c r="G21" i="5"/>
  <c r="G20" i="5"/>
  <c r="B41" i="1"/>
  <c r="B40" i="1"/>
  <c r="B39" i="1"/>
  <c r="B38" i="1"/>
  <c r="B37" i="1"/>
  <c r="B36" i="1"/>
  <c r="B35" i="1"/>
  <c r="B34" i="1"/>
  <c r="E33" i="1"/>
  <c r="B33" i="1"/>
  <c r="E32" i="1"/>
  <c r="B32" i="1"/>
  <c r="E31" i="1"/>
  <c r="B31" i="1"/>
  <c r="K28" i="1"/>
  <c r="E28" i="1"/>
  <c r="D28" i="1"/>
  <c r="B28" i="1"/>
  <c r="A28" i="1"/>
  <c r="K27" i="1"/>
  <c r="E27" i="1"/>
  <c r="D27" i="1"/>
  <c r="B27" i="1"/>
  <c r="A27" i="1"/>
  <c r="K26" i="1"/>
  <c r="E26" i="1"/>
  <c r="D26" i="1"/>
  <c r="B26" i="1"/>
  <c r="A26" i="1"/>
  <c r="E25" i="1"/>
  <c r="D25" i="1"/>
  <c r="B25" i="1"/>
  <c r="A25" i="1"/>
  <c r="K24" i="1"/>
  <c r="E24" i="1"/>
  <c r="D24" i="1"/>
  <c r="B24" i="1"/>
  <c r="A24" i="1"/>
  <c r="K23" i="1"/>
  <c r="E23" i="1"/>
  <c r="D23" i="1"/>
  <c r="B23" i="1"/>
  <c r="A23" i="1"/>
  <c r="K22" i="1"/>
  <c r="E22" i="1"/>
  <c r="D22" i="1"/>
  <c r="B22" i="1"/>
  <c r="A22" i="1"/>
  <c r="K21" i="1"/>
  <c r="E21" i="1"/>
  <c r="D21" i="1"/>
  <c r="B21" i="1"/>
  <c r="A21" i="1"/>
  <c r="K20" i="1"/>
  <c r="E20" i="1"/>
  <c r="D20" i="1"/>
  <c r="B20" i="1"/>
  <c r="A20" i="1"/>
  <c r="K19" i="1"/>
  <c r="E19" i="1"/>
  <c r="D19" i="1"/>
  <c r="B19" i="1"/>
  <c r="A19" i="1"/>
  <c r="J10" i="1"/>
  <c r="G10" i="1"/>
  <c r="D10" i="1"/>
  <c r="A10" i="1"/>
  <c r="J6" i="1"/>
  <c r="G6" i="1"/>
  <c r="D6" i="1"/>
  <c r="A6" i="1"/>
</calcChain>
</file>

<file path=xl/sharedStrings.xml><?xml version="1.0" encoding="utf-8"?>
<sst xmlns="http://schemas.openxmlformats.org/spreadsheetml/2006/main" count="16057" uniqueCount="4795">
  <si>
    <t>SCANDIC — рынок Шымкента: розница и региональные дилеры</t>
  </si>
  <si>
    <t>Best-effort исследование по открытым источникам · дата проверки 11.08.2026 · значения компаний отмечены как self-reported</t>
  </si>
  <si>
    <t>Именная база точек</t>
  </si>
  <si>
    <t>Организации / бренды</t>
  </si>
  <si>
    <t>Проверенные дилеры</t>
  </si>
  <si>
    <t>Дилеры рейтинга A</t>
  </si>
  <si>
    <t>АЗС + АГЗС в базе</t>
  </si>
  <si>
    <t>Вся розница: потолок</t>
  </si>
  <si>
    <t>Скрининг: нижняя граница</t>
  </si>
  <si>
    <t>Скрининг: верхняя граница</t>
  </si>
  <si>
    <t>Вывод: адресная база содержит 845 кандидатов, но реальное число пригодных точек публично не измерено. Защищаемый до полевого аудита ориентир — 1,2–2,8 тыс. форматно близких объектов; это не SAM. Широкий потолок всей розницы — 4 962.</t>
  </si>
  <si>
    <t>10 лучших потенциальных дилеров</t>
  </si>
  <si>
    <t>№</t>
  </si>
  <si>
    <t>Дилер</t>
  </si>
  <si>
    <t>Рейтинг</t>
  </si>
  <si>
    <t>Почему подходит</t>
  </si>
  <si>
    <t>Контакт</t>
  </si>
  <si>
    <t>Тип точки</t>
  </si>
  <si>
    <t>Количество</t>
  </si>
  <si>
    <t>Дилеры</t>
  </si>
  <si>
    <t>Магазин у дома / convenience</t>
  </si>
  <si>
    <t>A</t>
  </si>
  <si>
    <t>Супермаркет</t>
  </si>
  <si>
    <t>B</t>
  </si>
  <si>
    <t>АЗС</t>
  </si>
  <si>
    <t>C</t>
  </si>
  <si>
    <t>АГЗС/ГАЗС</t>
  </si>
  <si>
    <t>Продуктовый магазин</t>
  </si>
  <si>
    <t>Рынок / торговая площадка</t>
  </si>
  <si>
    <t>Минимаркет</t>
  </si>
  <si>
    <t>Овощи/фрукты</t>
  </si>
  <si>
    <t>Другой прикассовый формат</t>
  </si>
  <si>
    <t>Гипермаркет</t>
  </si>
  <si>
    <t>Киоск</t>
  </si>
  <si>
    <t>ID</t>
  </si>
  <si>
    <t>Компания / сеть</t>
  </si>
  <si>
    <t>Название точки</t>
  </si>
  <si>
    <t>Принадлежность к сети</t>
  </si>
  <si>
    <t>Тип</t>
  </si>
  <si>
    <t>Адрес</t>
  </si>
  <si>
    <t>Район</t>
  </si>
  <si>
    <t>Телефон</t>
  </si>
  <si>
    <t>Сайт / Instagram</t>
  </si>
  <si>
    <t>Известно филиалов</t>
  </si>
  <si>
    <t>Широта</t>
  </si>
  <si>
    <t>Долгота</t>
  </si>
  <si>
    <t>Основной источник</t>
  </si>
  <si>
    <t>Доп. источники</t>
  </si>
  <si>
    <t>Набор данных</t>
  </si>
  <si>
    <t>Дата проверки</t>
  </si>
  <si>
    <t>Уверенность</t>
  </si>
  <si>
    <t>Прикассовое соответствие</t>
  </si>
  <si>
    <t>Примечание</t>
  </si>
  <si>
    <t>SHY-0001</t>
  </si>
  <si>
    <t>Абдурахман</t>
  </si>
  <si>
    <t>Не установлено</t>
  </si>
  <si>
    <t>мкр. Север</t>
  </si>
  <si>
    <t>https://www.openstreetmap.org/node/4490047993</t>
  </si>
  <si>
    <t>OpenStreetMap</t>
  </si>
  <si>
    <t>2026-08-11</t>
  </si>
  <si>
    <t>medium</t>
  </si>
  <si>
    <t>high</t>
  </si>
  <si>
    <t>именованная OSM-точка с дополнительными контактными или адресными полями</t>
  </si>
  <si>
    <t>SHY-0002</t>
  </si>
  <si>
    <t>Абзал</t>
  </si>
  <si>
    <t>https://www.openstreetmap.org/node/1532793171</t>
  </si>
  <si>
    <t>именованная OSM-точка в административной границе города</t>
  </si>
  <si>
    <t>SHY-0003</t>
  </si>
  <si>
    <t>Адем</t>
  </si>
  <si>
    <t>https://www.openstreetmap.org/node/1455157590</t>
  </si>
  <si>
    <t>SHY-0004</t>
  </si>
  <si>
    <t>Азамат</t>
  </si>
  <si>
    <t>Возможная сеть: Азамат</t>
  </si>
  <si>
    <t>мкр. Восток, 93</t>
  </si>
  <si>
    <t>https://www.openstreetmap.org/node/4432254825</t>
  </si>
  <si>
    <t>SHY-0005</t>
  </si>
  <si>
    <t>Азиз</t>
  </si>
  <si>
    <t>https://www.openstreetmap.org/node/1458412965</t>
  </si>
  <si>
    <t>SHY-0006</t>
  </si>
  <si>
    <t>Азық түлік</t>
  </si>
  <si>
    <t>улица Айбергенова, 7</t>
  </si>
  <si>
    <t>https://www.openstreetmap.org/node/4440164990</t>
  </si>
  <si>
    <t>SHY-0007</t>
  </si>
  <si>
    <t>улица Торекулова, 216</t>
  </si>
  <si>
    <t>https://www.openstreetmap.org/node/4785590321</t>
  </si>
  <si>
    <t>SHY-0008</t>
  </si>
  <si>
    <t>https://www.openstreetmap.org/node/4490046492</t>
  </si>
  <si>
    <t>SHY-0009</t>
  </si>
  <si>
    <t>Аида</t>
  </si>
  <si>
    <t>улица Фабрициус, 17</t>
  </si>
  <si>
    <t>https://www.openstreetmap.org/node/4782402623</t>
  </si>
  <si>
    <t>SHY-0010</t>
  </si>
  <si>
    <t>Ай ару</t>
  </si>
  <si>
    <t>Возможная сеть: Ай ару</t>
  </si>
  <si>
    <t>https://www.openstreetmap.org/node/4487902689</t>
  </si>
  <si>
    <t>SHY-0011</t>
  </si>
  <si>
    <t>Ай-Асыл</t>
  </si>
  <si>
    <t>улица М.Дулати</t>
  </si>
  <si>
    <t>https://www.openstreetmap.org/node/4435449592</t>
  </si>
  <si>
    <t>SHY-0012</t>
  </si>
  <si>
    <t>Айбек</t>
  </si>
  <si>
    <t>мкр. Север, 44</t>
  </si>
  <si>
    <t>https://www.openstreetmap.org/node/4490076695</t>
  </si>
  <si>
    <t>SHY-0013</t>
  </si>
  <si>
    <t>Айгуль</t>
  </si>
  <si>
    <t>мкр. Север, 1</t>
  </si>
  <si>
    <t>https://www.openstreetmap.org/node/4490084490</t>
  </si>
  <si>
    <t>SHY-0014</t>
  </si>
  <si>
    <t>Айда</t>
  </si>
  <si>
    <t>https://www.openstreetmap.org/node/4885388121</t>
  </si>
  <si>
    <t>SHY-0015</t>
  </si>
  <si>
    <t>Айдын</t>
  </si>
  <si>
    <t>https://www.openstreetmap.org/node/1473223196</t>
  </si>
  <si>
    <t>SHY-0016</t>
  </si>
  <si>
    <t>Айзере</t>
  </si>
  <si>
    <t>https://www.openstreetmap.org/node/4788028724</t>
  </si>
  <si>
    <t>SHY-0017</t>
  </si>
  <si>
    <t>Айнаш</t>
  </si>
  <si>
    <t>https://www.openstreetmap.org/node/1506284777</t>
  </si>
  <si>
    <t>SHY-0018</t>
  </si>
  <si>
    <t>Айнур</t>
  </si>
  <si>
    <t>https://www.openstreetmap.org/node/4546179893</t>
  </si>
  <si>
    <t>SHY-0019</t>
  </si>
  <si>
    <t>Айсулан</t>
  </si>
  <si>
    <t>https://www.openstreetmap.org/node/1458412967</t>
  </si>
  <si>
    <t>SHY-0020</t>
  </si>
  <si>
    <t>Ак Жол</t>
  </si>
  <si>
    <t>https://www.openstreetmap.org/node/1458043947</t>
  </si>
  <si>
    <t>SHY-0021</t>
  </si>
  <si>
    <t>Ак ниет</t>
  </si>
  <si>
    <t>Возможная сеть: Ак ниет</t>
  </si>
  <si>
    <t>улица Диваева</t>
  </si>
  <si>
    <t>https://www.openstreetmap.org/node/4433680391</t>
  </si>
  <si>
    <t>SHY-0022</t>
  </si>
  <si>
    <t>Ак Орда</t>
  </si>
  <si>
    <t>улица Байтурсынова</t>
  </si>
  <si>
    <t>https://www.openstreetmap.org/node/4646679693</t>
  </si>
  <si>
    <t>SHY-0023</t>
  </si>
  <si>
    <t>Акерке</t>
  </si>
  <si>
    <t>мкр. Восток, 41А</t>
  </si>
  <si>
    <t>https://www.openstreetmap.org/node/4430223992</t>
  </si>
  <si>
    <t>SHY-0024</t>
  </si>
  <si>
    <t>Актай</t>
  </si>
  <si>
    <t>Капал батыра</t>
  </si>
  <si>
    <t>https://www.openstreetmap.org/way/995451702</t>
  </si>
  <si>
    <t>SHY-0025</t>
  </si>
  <si>
    <t>Ақ Дастархан</t>
  </si>
  <si>
    <t>https://www.openstreetmap.org/node/4782708021</t>
  </si>
  <si>
    <t>SHY-0026</t>
  </si>
  <si>
    <t>Ақ жарқын</t>
  </si>
  <si>
    <t>улица Елшибек батыра</t>
  </si>
  <si>
    <t>https://www.openstreetmap.org/node/4785646722</t>
  </si>
  <si>
    <t>SHY-0027</t>
  </si>
  <si>
    <t>Ақ Кеме</t>
  </si>
  <si>
    <t>https://www.openstreetmap.org/node/12979577347</t>
  </si>
  <si>
    <t>SHY-0028</t>
  </si>
  <si>
    <t>АҚжайық</t>
  </si>
  <si>
    <t>улица Сырым батыра</t>
  </si>
  <si>
    <t>https://www.openstreetmap.org/node/4885348722</t>
  </si>
  <si>
    <t>SHY-0029</t>
  </si>
  <si>
    <t>Алди</t>
  </si>
  <si>
    <t>https://www.openstreetmap.org/node/12960596943</t>
  </si>
  <si>
    <t>SHY-0030</t>
  </si>
  <si>
    <t>Алем</t>
  </si>
  <si>
    <t>https://www.openstreetmap.org/node/1455157614</t>
  </si>
  <si>
    <t>SHY-0031</t>
  </si>
  <si>
    <t>Алем маркет</t>
  </si>
  <si>
    <t>https://www.openstreetmap.org/node/12979577348</t>
  </si>
  <si>
    <t>SHY-0032</t>
  </si>
  <si>
    <t>Алина</t>
  </si>
  <si>
    <t>https://www.openstreetmap.org/node/1455157622</t>
  </si>
  <si>
    <t>SHY-0033</t>
  </si>
  <si>
    <t>Алия</t>
  </si>
  <si>
    <t>https://www.openstreetmap.org/node/4467229191</t>
  </si>
  <si>
    <t>SHY-0034</t>
  </si>
  <si>
    <t>Алтай</t>
  </si>
  <si>
    <t>Сурикова</t>
  </si>
  <si>
    <t>https://www.openstreetmap.org/node/5220165328</t>
  </si>
  <si>
    <t>SHY-0035</t>
  </si>
  <si>
    <t>Алтын ана</t>
  </si>
  <si>
    <t>Сайрамская улица, 46</t>
  </si>
  <si>
    <t>https://www.openstreetmap.org/node/4483264591</t>
  </si>
  <si>
    <t>SHY-0036</t>
  </si>
  <si>
    <t>Алтын жулдыз</t>
  </si>
  <si>
    <t>https://www.openstreetmap.org/node/1458043949</t>
  </si>
  <si>
    <t>SHY-0037</t>
  </si>
  <si>
    <t>Алтын куз</t>
  </si>
  <si>
    <t>улица Аскарова</t>
  </si>
  <si>
    <t>https://www.openstreetmap.org/node/4437279190</t>
  </si>
  <si>
    <t>SHY-0038</t>
  </si>
  <si>
    <t>Алуа</t>
  </si>
  <si>
    <t>https://www.openstreetmap.org/node/4508776089</t>
  </si>
  <si>
    <t>SHY-0039</t>
  </si>
  <si>
    <t>Анар</t>
  </si>
  <si>
    <t>https://www.openstreetmap.org/node/1260468108</t>
  </si>
  <si>
    <t>SHY-0040</t>
  </si>
  <si>
    <t>https://www.openstreetmap.org/node/3302046766</t>
  </si>
  <si>
    <t>SHY-0041</t>
  </si>
  <si>
    <t>Анеля</t>
  </si>
  <si>
    <t>https://www.openstreetmap.org/node/4437278991</t>
  </si>
  <si>
    <t>SHY-0042</t>
  </si>
  <si>
    <t>Аңсар</t>
  </si>
  <si>
    <t>тіршілік</t>
  </si>
  <si>
    <t>https://www.openstreetmap.org/node/4788091423</t>
  </si>
  <si>
    <t>SHY-0043</t>
  </si>
  <si>
    <t>Арай</t>
  </si>
  <si>
    <t>https://www.openstreetmap.org/node/4789381921</t>
  </si>
  <si>
    <t>SHY-0044</t>
  </si>
  <si>
    <t>https://www.openstreetmap.org/node/4516585190</t>
  </si>
  <si>
    <t>SHY-0045</t>
  </si>
  <si>
    <t>Арайлым</t>
  </si>
  <si>
    <t>https://www.openstreetmap.org/node/4859722521</t>
  </si>
  <si>
    <t>SHY-0046</t>
  </si>
  <si>
    <t>Арзан</t>
  </si>
  <si>
    <t>https://www.openstreetmap.org/node/12964522579</t>
  </si>
  <si>
    <t>SHY-0047</t>
  </si>
  <si>
    <t>Ж.Шанин</t>
  </si>
  <si>
    <t>https://www.openstreetmap.org/node/4782466522</t>
  </si>
  <si>
    <t>SHY-0048</t>
  </si>
  <si>
    <t>Арзан 2</t>
  </si>
  <si>
    <t>https://www.openstreetmap.org/node/4814918121</t>
  </si>
  <si>
    <t>SHY-0049</t>
  </si>
  <si>
    <t>Арзан пожарка</t>
  </si>
  <si>
    <t>https://www.openstreetmap.org/node/4788085921</t>
  </si>
  <si>
    <t>SHY-0050</t>
  </si>
  <si>
    <t>Арпакуль ана</t>
  </si>
  <si>
    <t>мкр. Восток, 67</t>
  </si>
  <si>
    <t>https://www.openstreetmap.org/node/4430223991</t>
  </si>
  <si>
    <t>SHY-0051</t>
  </si>
  <si>
    <t>Арсен</t>
  </si>
  <si>
    <t>https://www.openstreetmap.org/node/4467263589</t>
  </si>
  <si>
    <t>SHY-0052</t>
  </si>
  <si>
    <t>Аружан</t>
  </si>
  <si>
    <t>мкр. Восток</t>
  </si>
  <si>
    <t>https://www.openstreetmap.org/node/4432310395</t>
  </si>
  <si>
    <t>SHY-0053</t>
  </si>
  <si>
    <t>мкр. Восток, 45</t>
  </si>
  <si>
    <t>https://www.openstreetmap.org/node/4430223994</t>
  </si>
  <si>
    <t>SHY-0054</t>
  </si>
  <si>
    <t>Асел</t>
  </si>
  <si>
    <t>проспект Республики</t>
  </si>
  <si>
    <t>https://www.openstreetmap.org/node/4440029292</t>
  </si>
  <si>
    <t>SHY-0055</t>
  </si>
  <si>
    <t>Асель</t>
  </si>
  <si>
    <t>https://www.openstreetmap.org/node/1458043950</t>
  </si>
  <si>
    <t>SHY-0056</t>
  </si>
  <si>
    <t>мкр. Восток, 90</t>
  </si>
  <si>
    <t>https://www.openstreetmap.org/node/4441610389</t>
  </si>
  <si>
    <t>SHY-0057</t>
  </si>
  <si>
    <t>Асем</t>
  </si>
  <si>
    <t>Проспект Республики, 11/1, Шымкент, Шымкент городская администрация</t>
  </si>
  <si>
    <t>Аль-Фарабийский</t>
  </si>
  <si>
    <t>+77252556537</t>
  </si>
  <si>
    <t>https://www.openstreetmap.org/node/1455157626</t>
  </si>
  <si>
    <t>https://2gis.kz/shymkent/firm/70000001025820761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3</t>
  </si>
  <si>
    <t>OpenStreetMap, 2GIS</t>
  </si>
  <si>
    <t>SHY-0058</t>
  </si>
  <si>
    <t>https://www.openstreetmap.org/node/4800530923</t>
  </si>
  <si>
    <t>SHY-0059</t>
  </si>
  <si>
    <t>Асем-ай</t>
  </si>
  <si>
    <t>https://www.openstreetmap.org/node/4490076697</t>
  </si>
  <si>
    <t>SHY-0060</t>
  </si>
  <si>
    <t>Астана</t>
  </si>
  <si>
    <t>Юрия Гагарина улица, 24а/1</t>
  </si>
  <si>
    <t>https://www.openstreetmap.org/way/115437520</t>
  </si>
  <si>
    <t>SHY-0061</t>
  </si>
  <si>
    <t>Атаман</t>
  </si>
  <si>
    <t>https://www.openstreetmap.org/node/4500087591</t>
  </si>
  <si>
    <t>SHY-0062</t>
  </si>
  <si>
    <t>Атамекен</t>
  </si>
  <si>
    <t>улица Назарбекова</t>
  </si>
  <si>
    <t>https://www.openstreetmap.org/node/4782467121</t>
  </si>
  <si>
    <t>SHY-0063</t>
  </si>
  <si>
    <t>АТК</t>
  </si>
  <si>
    <t>https://www.openstreetmap.org/node/4689903592</t>
  </si>
  <si>
    <t>SHY-0064</t>
  </si>
  <si>
    <t>Ахмет ата</t>
  </si>
  <si>
    <t>Алпамыс батыр көшесі</t>
  </si>
  <si>
    <t>https://www.openstreetmap.org/node/5792751753</t>
  </si>
  <si>
    <t>SHY-0065</t>
  </si>
  <si>
    <t>Аян</t>
  </si>
  <si>
    <t>мкр. Сайрам</t>
  </si>
  <si>
    <t>https://www.openstreetmap.org/node/4613374591</t>
  </si>
  <si>
    <t>SHY-0066</t>
  </si>
  <si>
    <t>Әдемі</t>
  </si>
  <si>
    <t>https://www.openstreetmap.org/node/4435470496</t>
  </si>
  <si>
    <t>SHY-0067</t>
  </si>
  <si>
    <t>Базет</t>
  </si>
  <si>
    <t>4-й микрорайон, 15а</t>
  </si>
  <si>
    <t>https://www.openstreetmap.org/way/343161975</t>
  </si>
  <si>
    <t>SHY-0068</t>
  </si>
  <si>
    <t>БАЙКЕН</t>
  </si>
  <si>
    <t>Мақталы, 810</t>
  </si>
  <si>
    <t>https://www.openstreetmap.org/node/4885393022</t>
  </si>
  <si>
    <t>SHY-0069</t>
  </si>
  <si>
    <t>Байрух</t>
  </si>
  <si>
    <t>мкр. Восток, 39</t>
  </si>
  <si>
    <t>https://www.openstreetmap.org/node/4430272890</t>
  </si>
  <si>
    <t>SHY-0070</t>
  </si>
  <si>
    <t>Бак Нур</t>
  </si>
  <si>
    <t>https://www.openstreetmap.org/node/4440164193</t>
  </si>
  <si>
    <t>SHY-0071</t>
  </si>
  <si>
    <t>Бакдаулет</t>
  </si>
  <si>
    <t>https://www.openstreetmap.org/node/4499947690</t>
  </si>
  <si>
    <t>SHY-0072</t>
  </si>
  <si>
    <t>https://www.openstreetmap.org/node/4490047992</t>
  </si>
  <si>
    <t>SHY-0073</t>
  </si>
  <si>
    <t>Бақдаулет</t>
  </si>
  <si>
    <t>Измир</t>
  </si>
  <si>
    <t>https://www.openstreetmap.org/node/4782466422</t>
  </si>
  <si>
    <t>SHY-0074</t>
  </si>
  <si>
    <t>Мұзтау</t>
  </si>
  <si>
    <t>https://www.openstreetmap.org/node/4788132521</t>
  </si>
  <si>
    <t>SHY-0075</t>
  </si>
  <si>
    <t>Балнур</t>
  </si>
  <si>
    <t>36</t>
  </si>
  <si>
    <t>https://www.openstreetmap.org/node/4782721723</t>
  </si>
  <si>
    <t>SHY-0076</t>
  </si>
  <si>
    <t>Бауыржан</t>
  </si>
  <si>
    <t>https://www.openstreetmap.org/node/4465871190</t>
  </si>
  <si>
    <t>SHY-0077</t>
  </si>
  <si>
    <t>Бахтияр</t>
  </si>
  <si>
    <t>мкр. Север, 24</t>
  </si>
  <si>
    <t>https://www.openstreetmap.org/node/4490076692</t>
  </si>
  <si>
    <t>SHY-0078</t>
  </si>
  <si>
    <t>без названия</t>
  </si>
  <si>
    <t>Возможная сеть: без названия</t>
  </si>
  <si>
    <t>4-й микрорайон, 14/2</t>
  </si>
  <si>
    <t>https://www.openstreetmap.org/way/343145657</t>
  </si>
  <si>
    <t>SHY-0079</t>
  </si>
  <si>
    <t>Бек-Сер</t>
  </si>
  <si>
    <t>https://www.openstreetmap.org/node/4465858690</t>
  </si>
  <si>
    <t>SHY-0080</t>
  </si>
  <si>
    <t>Бекарыс</t>
  </si>
  <si>
    <t>https://www.openstreetmap.org/node/4467264389</t>
  </si>
  <si>
    <t>SHY-0081</t>
  </si>
  <si>
    <t>Белорусские продукты</t>
  </si>
  <si>
    <t>https://www.openstreetmap.org/node/11813117447</t>
  </si>
  <si>
    <t>SHY-0082</t>
  </si>
  <si>
    <t>Береке</t>
  </si>
  <si>
    <t>https://www.openstreetmap.org/node/11809500062</t>
  </si>
  <si>
    <t>SHY-0083</t>
  </si>
  <si>
    <t>https://www.openstreetmap.org/node/4490047994</t>
  </si>
  <si>
    <t>SHY-0084</t>
  </si>
  <si>
    <t>https://www.openstreetmap.org/node/4465990195</t>
  </si>
  <si>
    <t>SHY-0085</t>
  </si>
  <si>
    <t>https://www.openstreetmap.org/node/4885388122</t>
  </si>
  <si>
    <t>SHY-0086</t>
  </si>
  <si>
    <t>Берен</t>
  </si>
  <si>
    <t>https://www.openstreetmap.org/node/4885399522</t>
  </si>
  <si>
    <t>SHY-0087</t>
  </si>
  <si>
    <t>Берик</t>
  </si>
  <si>
    <t>мкр. Восток, 89</t>
  </si>
  <si>
    <t>https://www.openstreetmap.org/node/4432149489</t>
  </si>
  <si>
    <t>SHY-0088</t>
  </si>
  <si>
    <t>Вера</t>
  </si>
  <si>
    <t>https://www.openstreetmap.org/node/1455157645</t>
  </si>
  <si>
    <t>SHY-0089</t>
  </si>
  <si>
    <t>Восток</t>
  </si>
  <si>
    <t>мкр. Восток, 42</t>
  </si>
  <si>
    <t>https://www.openstreetmap.org/node/4430233690</t>
  </si>
  <si>
    <t>SHY-0090</t>
  </si>
  <si>
    <t>Восход</t>
  </si>
  <si>
    <t>https://www.openstreetmap.org/node/1458412975</t>
  </si>
  <si>
    <t>SHY-0091</t>
  </si>
  <si>
    <t>Гаухар</t>
  </si>
  <si>
    <t>https://www.openstreetmap.org/node/4435470495</t>
  </si>
  <si>
    <t>SHY-0092</t>
  </si>
  <si>
    <t>Гранд</t>
  </si>
  <si>
    <t>https://www.openstreetmap.org/node/4456180389</t>
  </si>
  <si>
    <t>SHY-0093</t>
  </si>
  <si>
    <t>Гука</t>
  </si>
  <si>
    <t>https://www.openstreetmap.org/node/4481360103</t>
  </si>
  <si>
    <t>SHY-0094</t>
  </si>
  <si>
    <t>Гулдана</t>
  </si>
  <si>
    <t>https://www.openstreetmap.org/node/4516539793</t>
  </si>
  <si>
    <t>SHY-0095</t>
  </si>
  <si>
    <t>Гулжаухар</t>
  </si>
  <si>
    <t>Сайрамская улица</t>
  </si>
  <si>
    <t>https://www.openstreetmap.org/node/4481363789</t>
  </si>
  <si>
    <t>SHY-0096</t>
  </si>
  <si>
    <t>Гулназ</t>
  </si>
  <si>
    <t>https://www.openstreetmap.org/node/4465858691</t>
  </si>
  <si>
    <t>SHY-0097</t>
  </si>
  <si>
    <t>Гульжан</t>
  </si>
  <si>
    <t>https://www.openstreetmap.org/node/13805184084</t>
  </si>
  <si>
    <t>SHY-0098</t>
  </si>
  <si>
    <t>Дана</t>
  </si>
  <si>
    <t>https://www.openstreetmap.org/node/4430222894</t>
  </si>
  <si>
    <t>SHY-0099</t>
  </si>
  <si>
    <t>https://www.openstreetmap.org/node/4490076693</t>
  </si>
  <si>
    <t>SHY-0100</t>
  </si>
  <si>
    <t>Даниал</t>
  </si>
  <si>
    <t>https://www.openstreetmap.org/node/4490084589</t>
  </si>
  <si>
    <t>SHY-0101</t>
  </si>
  <si>
    <t>Данк</t>
  </si>
  <si>
    <t>https://www.openstreetmap.org/node/4441847189</t>
  </si>
  <si>
    <t>SHY-0102</t>
  </si>
  <si>
    <t>Дарын</t>
  </si>
  <si>
    <t>https://www.openstreetmap.org/node/4430321492</t>
  </si>
  <si>
    <t>SHY-0103</t>
  </si>
  <si>
    <t>Даурен</t>
  </si>
  <si>
    <t>Улица Бакбаева, 13, Шымкент, Шымкент городская администрация</t>
  </si>
  <si>
    <t>Абайский</t>
  </si>
  <si>
    <t>+77785059947</t>
  </si>
  <si>
    <t>https://www.openstreetmap.org/node/1283573924</t>
  </si>
  <si>
    <t>https://2gis.kz/shymkent/firm/70000001029851756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2</t>
  </si>
  <si>
    <t>именованная OSM-точка в административной границе города | Супермаркеты · Доставка</t>
  </si>
  <si>
    <t>SHY-0104</t>
  </si>
  <si>
    <t>ДДД</t>
  </si>
  <si>
    <t>https://www.openstreetmap.org/node/4490084889</t>
  </si>
  <si>
    <t>SHY-0105</t>
  </si>
  <si>
    <t>Диана</t>
  </si>
  <si>
    <t>https://www.openstreetmap.org/node/4441674290</t>
  </si>
  <si>
    <t>SHY-0106</t>
  </si>
  <si>
    <t>https://www.openstreetmap.org/node/4465871089</t>
  </si>
  <si>
    <t>SHY-0107</t>
  </si>
  <si>
    <t>Диас</t>
  </si>
  <si>
    <t>улица Майтобе</t>
  </si>
  <si>
    <t>https://www.openstreetmap.org/node/4432364789</t>
  </si>
  <si>
    <t>SHY-0108</t>
  </si>
  <si>
    <t>Дина</t>
  </si>
  <si>
    <t>Нефтеразведка</t>
  </si>
  <si>
    <t>https://www.openstreetmap.org/node/8664510555</t>
  </si>
  <si>
    <t>SHY-0109</t>
  </si>
  <si>
    <t>https://www.openstreetmap.org/node/4490076694</t>
  </si>
  <si>
    <t>SHY-0110</t>
  </si>
  <si>
    <t>Динара</t>
  </si>
  <si>
    <t>улица Казыбек Би, 133</t>
  </si>
  <si>
    <t>https://www.openstreetmap.org/node/4435470492</t>
  </si>
  <si>
    <t>SHY-0111</t>
  </si>
  <si>
    <t>Динур</t>
  </si>
  <si>
    <t>https://www.openstreetmap.org/node/4490084489</t>
  </si>
  <si>
    <t>SHY-0112</t>
  </si>
  <si>
    <t>Ділміш ата</t>
  </si>
  <si>
    <t>https://www.openstreetmap.org/node/4542293791</t>
  </si>
  <si>
    <t>SHY-0113</t>
  </si>
  <si>
    <t>Достық</t>
  </si>
  <si>
    <t>Возможная сеть: Достық</t>
  </si>
  <si>
    <t>https://www.openstreetmap.org/node/4788016323</t>
  </si>
  <si>
    <t>SHY-0114</t>
  </si>
  <si>
    <t>Евро хлеб</t>
  </si>
  <si>
    <t>https://www.openstreetmap.org/node/4481359903</t>
  </si>
  <si>
    <t>SHY-0115</t>
  </si>
  <si>
    <t>Ер-Дос</t>
  </si>
  <si>
    <t>https://www.openstreetmap.org/node/4465861090</t>
  </si>
  <si>
    <t>SHY-0116</t>
  </si>
  <si>
    <t>Ернұр</t>
  </si>
  <si>
    <t>улица Торекулова, 190</t>
  </si>
  <si>
    <t>https://www.openstreetmap.org/node/4785585921</t>
  </si>
  <si>
    <t>SHY-0117</t>
  </si>
  <si>
    <t>Ескендір Ата</t>
  </si>
  <si>
    <t>https://www.openstreetmap.org/node/4857603221</t>
  </si>
  <si>
    <t>SHY-0118</t>
  </si>
  <si>
    <t>Жамиля</t>
  </si>
  <si>
    <t>https://www.openstreetmap.org/node/4483261591</t>
  </si>
  <si>
    <t>SHY-0119</t>
  </si>
  <si>
    <t>Жан-Даулет</t>
  </si>
  <si>
    <t>https://www.openstreetmap.org/node/4435470491</t>
  </si>
  <si>
    <t>SHY-0120</t>
  </si>
  <si>
    <t>Жанар</t>
  </si>
  <si>
    <t>https://www.openstreetmap.org/node/4467244191</t>
  </si>
  <si>
    <t>SHY-0121</t>
  </si>
  <si>
    <t>Жанат</t>
  </si>
  <si>
    <t>https://www.openstreetmap.org/node/4467263889</t>
  </si>
  <si>
    <t>SHY-0122</t>
  </si>
  <si>
    <t>Жанна</t>
  </si>
  <si>
    <t>Возможная сеть: Жанна</t>
  </si>
  <si>
    <t>https://www.openstreetmap.org/node/1416829887</t>
  </si>
  <si>
    <t>SHY-0123</t>
  </si>
  <si>
    <t>Жасур</t>
  </si>
  <si>
    <t>https://www.openstreetmap.org/node/4469652494</t>
  </si>
  <si>
    <t>SHY-0124</t>
  </si>
  <si>
    <t>Жетысу</t>
  </si>
  <si>
    <t>https://www.openstreetmap.org/node/3755432449</t>
  </si>
  <si>
    <t>SHY-0125</t>
  </si>
  <si>
    <t>Жулдыз</t>
  </si>
  <si>
    <t>мкр. Восток, 109А</t>
  </si>
  <si>
    <t>https://www.openstreetmap.org/node/4430320896</t>
  </si>
  <si>
    <t>SHY-0126</t>
  </si>
  <si>
    <t>Жумагул Ана</t>
  </si>
  <si>
    <t>https://www.openstreetmap.org/node/1507566737</t>
  </si>
  <si>
    <t>SHY-0127</t>
  </si>
  <si>
    <t>Замира</t>
  </si>
  <si>
    <t>https://www.openstreetmap.org/node/4467264089</t>
  </si>
  <si>
    <t>SHY-0128</t>
  </si>
  <si>
    <t>Зарина</t>
  </si>
  <si>
    <t>https://www.openstreetmap.org/node/1458043964</t>
  </si>
  <si>
    <t>SHY-0129</t>
  </si>
  <si>
    <t>https://www.openstreetmap.org/node/4440168490</t>
  </si>
  <si>
    <t>SHY-0130</t>
  </si>
  <si>
    <t>Иль-Дар-Нур</t>
  </si>
  <si>
    <t>https://www.openstreetmap.org/node/1458043967</t>
  </si>
  <si>
    <t>SHY-0131</t>
  </si>
  <si>
    <t>Каламкас ана</t>
  </si>
  <si>
    <t>мкр. Восток, 24</t>
  </si>
  <si>
    <t>https://www.openstreetmap.org/node/4432158293</t>
  </si>
  <si>
    <t>SHY-0132</t>
  </si>
  <si>
    <t>Калина</t>
  </si>
  <si>
    <t>https://www.openstreetmap.org/node/6618181786</t>
  </si>
  <si>
    <t>SHY-0133</t>
  </si>
  <si>
    <t>Калыш ана</t>
  </si>
  <si>
    <t>https://www.openstreetmap.org/node/4490047996</t>
  </si>
  <si>
    <t>SHY-0134</t>
  </si>
  <si>
    <t>Касан ата</t>
  </si>
  <si>
    <t>https://www.openstreetmap.org/node/4776850881</t>
  </si>
  <si>
    <t>SHY-0135</t>
  </si>
  <si>
    <t>Катаган</t>
  </si>
  <si>
    <t>улица Турара Рыскулова</t>
  </si>
  <si>
    <t>https://www.openstreetmap.org/node/4456142993</t>
  </si>
  <si>
    <t>SHY-0136</t>
  </si>
  <si>
    <t>Каусар</t>
  </si>
  <si>
    <t>Мичурина</t>
  </si>
  <si>
    <t>https://www.openstreetmap.org/node/5892417185</t>
  </si>
  <si>
    <t>SHY-0137</t>
  </si>
  <si>
    <t>Керемет</t>
  </si>
  <si>
    <t>https://www.openstreetmap.org/node/4885369121</t>
  </si>
  <si>
    <t>SHY-0138</t>
  </si>
  <si>
    <t>Кипарис</t>
  </si>
  <si>
    <t>https://www.openstreetmap.org/node/12966093667</t>
  </si>
  <si>
    <t>SHY-0139</t>
  </si>
  <si>
    <t>Куласан</t>
  </si>
  <si>
    <t>https://www.openstreetmap.org/node/4435476690</t>
  </si>
  <si>
    <t>SHY-0140</t>
  </si>
  <si>
    <t>Курмет</t>
  </si>
  <si>
    <t>https://www.openstreetmap.org/node/1847048924</t>
  </si>
  <si>
    <t>SHY-0141</t>
  </si>
  <si>
    <t>Күншығыс</t>
  </si>
  <si>
    <t>https://www.openstreetmap.org/node/4857563122</t>
  </si>
  <si>
    <t>SHY-0142</t>
  </si>
  <si>
    <t>Қазына</t>
  </si>
  <si>
    <t>https://www.openstreetmap.org/node/4785602621</t>
  </si>
  <si>
    <t>SHY-0143</t>
  </si>
  <si>
    <t>Лаура</t>
  </si>
  <si>
    <t>улица Утегенова, 43</t>
  </si>
  <si>
    <t>https://www.openstreetmap.org/way/290380402</t>
  </si>
  <si>
    <t>SHY-0144</t>
  </si>
  <si>
    <t>Луиза</t>
  </si>
  <si>
    <t>https://www.openstreetmap.org/node/8664689609</t>
  </si>
  <si>
    <t>SHY-0145</t>
  </si>
  <si>
    <t>Магазин</t>
  </si>
  <si>
    <t>Возможная сеть: Магазин</t>
  </si>
  <si>
    <t>улица Ковпака</t>
  </si>
  <si>
    <t>https://www.openstreetmap.org/node/3727523138</t>
  </si>
  <si>
    <t>SHY-0146</t>
  </si>
  <si>
    <t>https://www.openstreetmap.org/node/4782489326</t>
  </si>
  <si>
    <t>SHY-0147</t>
  </si>
  <si>
    <t>https://www.openstreetmap.org/node/4782492824</t>
  </si>
  <si>
    <t>SHY-0148</t>
  </si>
  <si>
    <t>Магазин "Новинка"</t>
  </si>
  <si>
    <t>Улица Жолдасбекова, 62а</t>
  </si>
  <si>
    <t>https://www.openstreetmap.org/way/399627256</t>
  </si>
  <si>
    <t>SHY-0149</t>
  </si>
  <si>
    <t>Мади кіші маркеті</t>
  </si>
  <si>
    <t>https://www.openstreetmap.org/node/4885376123</t>
  </si>
  <si>
    <t>SHY-0150</t>
  </si>
  <si>
    <t>Мадина</t>
  </si>
  <si>
    <t>https://www.openstreetmap.org/node/4481364190</t>
  </si>
  <si>
    <t>SHY-0151</t>
  </si>
  <si>
    <t>Мадияр</t>
  </si>
  <si>
    <t>мкр. Восток, 21</t>
  </si>
  <si>
    <t>https://www.openstreetmap.org/node/1526746255</t>
  </si>
  <si>
    <t>SHY-0152</t>
  </si>
  <si>
    <t>Майкент</t>
  </si>
  <si>
    <t>Улица Ондиристи, 1/7</t>
  </si>
  <si>
    <t>https://www.openstreetmap.org/way/376030676</t>
  </si>
  <si>
    <t>SHY-0153</t>
  </si>
  <si>
    <t>Макс</t>
  </si>
  <si>
    <t>Улица Жастык, 2/3</t>
  </si>
  <si>
    <t>https://www.openstreetmap.org/way/466396465</t>
  </si>
  <si>
    <t>https://www.openstreetmap.org/node/4009223183</t>
  </si>
  <si>
    <t>SHY-0154</t>
  </si>
  <si>
    <t>Максат</t>
  </si>
  <si>
    <t>улица Гагарина</t>
  </si>
  <si>
    <t>https://www.openstreetmap.org/node/3736898395</t>
  </si>
  <si>
    <t>SHY-0155</t>
  </si>
  <si>
    <t>Мақпал</t>
  </si>
  <si>
    <t>https://www.openstreetmap.org/node/4788103822</t>
  </si>
  <si>
    <t>SHY-0156</t>
  </si>
  <si>
    <t>Манас</t>
  </si>
  <si>
    <t>https://www.openstreetmap.org/node/1458043976</t>
  </si>
  <si>
    <t>SHY-0157</t>
  </si>
  <si>
    <t>Мансур</t>
  </si>
  <si>
    <t>https://www.openstreetmap.org/node/1473223235</t>
  </si>
  <si>
    <t>SHY-0158</t>
  </si>
  <si>
    <t>https://www.openstreetmap.org/node/4430357689</t>
  </si>
  <si>
    <t>SHY-0159</t>
  </si>
  <si>
    <t>Маржан</t>
  </si>
  <si>
    <t>мкр. Восток, 44</t>
  </si>
  <si>
    <t>https://www.openstreetmap.org/node/4430223993</t>
  </si>
  <si>
    <t>SHY-0160</t>
  </si>
  <si>
    <t>Мейірхан ана</t>
  </si>
  <si>
    <t>https://www.openstreetmap.org/node/4481360100</t>
  </si>
  <si>
    <t>SHY-0161</t>
  </si>
  <si>
    <t>Мейр</t>
  </si>
  <si>
    <t>https://www.openstreetmap.org/node/4443337390</t>
  </si>
  <si>
    <t>SHY-0162</t>
  </si>
  <si>
    <t>Мелодия</t>
  </si>
  <si>
    <t>https://www.openstreetmap.org/node/1458043977</t>
  </si>
  <si>
    <t>SHY-0163</t>
  </si>
  <si>
    <t>Мерей</t>
  </si>
  <si>
    <t>https://www.openstreetmap.org/node/4490076696</t>
  </si>
  <si>
    <t>SHY-0164</t>
  </si>
  <si>
    <t>Бөкейхан</t>
  </si>
  <si>
    <t>https://www.openstreetmap.org/node/4885375821</t>
  </si>
  <si>
    <t>SHY-0165</t>
  </si>
  <si>
    <t>Мереке</t>
  </si>
  <si>
    <t>https://www.openstreetmap.org/node/1455157782</t>
  </si>
  <si>
    <t>SHY-0166</t>
  </si>
  <si>
    <t>Меруерт</t>
  </si>
  <si>
    <t>https://www.openstreetmap.org/node/1458043978</t>
  </si>
  <si>
    <t>SHY-0167</t>
  </si>
  <si>
    <t>Металлург</t>
  </si>
  <si>
    <t>улица 1 Мая, 8</t>
  </si>
  <si>
    <t>Туран</t>
  </si>
  <si>
    <t>+77055680214</t>
  </si>
  <si>
    <t>https://www.openstreetmap.org/node/3735413528</t>
  </si>
  <si>
    <t>https://2gis.kz/shymkent/firm/70000001025876663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3</t>
  </si>
  <si>
    <t>SHY-0168</t>
  </si>
  <si>
    <t>Мико</t>
  </si>
  <si>
    <t>А.Қаламбаем</t>
  </si>
  <si>
    <t>https://www.openstreetmap.org/node/4885352021</t>
  </si>
  <si>
    <t>SHY-0169</t>
  </si>
  <si>
    <t>Милана</t>
  </si>
  <si>
    <t>https://www.openstreetmap.org/node/4437278989</t>
  </si>
  <si>
    <t>SHY-0170</t>
  </si>
  <si>
    <t>Милена</t>
  </si>
  <si>
    <t>https://www.openstreetmap.org/node/4440164491</t>
  </si>
  <si>
    <t>SHY-0171</t>
  </si>
  <si>
    <t>Мунар</t>
  </si>
  <si>
    <t>https://www.openstreetmap.org/node/1458412984</t>
  </si>
  <si>
    <t>SHY-0172</t>
  </si>
  <si>
    <t>Нарикбай</t>
  </si>
  <si>
    <t>https://www.openstreetmap.org/node/4441719990</t>
  </si>
  <si>
    <t>SHY-0173</t>
  </si>
  <si>
    <t>Народный</t>
  </si>
  <si>
    <t>Толебаева</t>
  </si>
  <si>
    <t>https://www.openstreetmap.org/node/4358683791</t>
  </si>
  <si>
    <t>SHY-0174</t>
  </si>
  <si>
    <t>Несібелі</t>
  </si>
  <si>
    <t>https://www.openstreetmap.org/node/5792751653</t>
  </si>
  <si>
    <t>SHY-0175</t>
  </si>
  <si>
    <t>Нигара</t>
  </si>
  <si>
    <t>https://www.openstreetmap.org/node/1455157818</t>
  </si>
  <si>
    <t>SHY-0176</t>
  </si>
  <si>
    <t>Нур</t>
  </si>
  <si>
    <t>https://www.openstreetmap.org/node/1455157841</t>
  </si>
  <si>
    <t>SHY-0177</t>
  </si>
  <si>
    <t>https://www.openstreetmap.org/node/4464366690</t>
  </si>
  <si>
    <t>SHY-0178</t>
  </si>
  <si>
    <t>https://www.openstreetmap.org/node/4476249289</t>
  </si>
  <si>
    <t>SHY-0179</t>
  </si>
  <si>
    <t>Нурали</t>
  </si>
  <si>
    <t>улица Жас Талап</t>
  </si>
  <si>
    <t>https://www.openstreetmap.org/node/4432367189</t>
  </si>
  <si>
    <t>SHY-0180</t>
  </si>
  <si>
    <t>Нурару</t>
  </si>
  <si>
    <t>https://www.openstreetmap.org/node/4430321099</t>
  </si>
  <si>
    <t>SHY-0181</t>
  </si>
  <si>
    <t>Нурдаулет</t>
  </si>
  <si>
    <t>мкр. Восток, 2</t>
  </si>
  <si>
    <t>https://www.openstreetmap.org/node/4430320897</t>
  </si>
  <si>
    <t>SHY-0182</t>
  </si>
  <si>
    <t>Нуржамал</t>
  </si>
  <si>
    <t>https://www.openstreetmap.org/node/1473223237</t>
  </si>
  <si>
    <t>SHY-0183</t>
  </si>
  <si>
    <t>Нуркен</t>
  </si>
  <si>
    <t>https://www.openstreetmap.org/node/4465861091</t>
  </si>
  <si>
    <t>SHY-0184</t>
  </si>
  <si>
    <t>Нурлан</t>
  </si>
  <si>
    <t>https://www.openstreetmap.org/node/1458043985</t>
  </si>
  <si>
    <t>SHY-0185</t>
  </si>
  <si>
    <t>Нурсат</t>
  </si>
  <si>
    <t>https://www.openstreetmap.org/node/4782477224</t>
  </si>
  <si>
    <t>SHY-0186</t>
  </si>
  <si>
    <t>Нұржау ата</t>
  </si>
  <si>
    <t>https://www.openstreetmap.org/node/4788437622</t>
  </si>
  <si>
    <t>SHY-0187</t>
  </si>
  <si>
    <t>Олжа</t>
  </si>
  <si>
    <t>https://www.openstreetmap.org/node/1268848706</t>
  </si>
  <si>
    <t>SHY-0188</t>
  </si>
  <si>
    <t>https://www.openstreetmap.org/node/1506284778</t>
  </si>
  <si>
    <t>SHY-0189</t>
  </si>
  <si>
    <t>https://www.openstreetmap.org/node/4788028722</t>
  </si>
  <si>
    <t>SHY-0190</t>
  </si>
  <si>
    <t>Олжас</t>
  </si>
  <si>
    <t>Возможная сеть: Олжас</t>
  </si>
  <si>
    <t>https://www.openstreetmap.org/node/4516593190</t>
  </si>
  <si>
    <t>SHY-0191</t>
  </si>
  <si>
    <t>Ольга</t>
  </si>
  <si>
    <t>https://www.openstreetmap.org/node/1455157845</t>
  </si>
  <si>
    <t>SHY-0192</t>
  </si>
  <si>
    <t>Оригинал</t>
  </si>
  <si>
    <t>https://www.openstreetmap.org/node/1473223249</t>
  </si>
  <si>
    <t>SHY-0193</t>
  </si>
  <si>
    <t>Остановка Алаш</t>
  </si>
  <si>
    <t>Темірлан тасжолы</t>
  </si>
  <si>
    <t>https://www.openstreetmap.org/node/4416083891</t>
  </si>
  <si>
    <t>SHY-0194</t>
  </si>
  <si>
    <t>Отырар</t>
  </si>
  <si>
    <t>https://www.openstreetmap.org/node/4465862192</t>
  </si>
  <si>
    <t>SHY-0195</t>
  </si>
  <si>
    <t>Паркур</t>
  </si>
  <si>
    <t>https://www.openstreetmap.org/node/4443327190</t>
  </si>
  <si>
    <t>SHY-0196</t>
  </si>
  <si>
    <t>Перне</t>
  </si>
  <si>
    <t>https://www.openstreetmap.org/node/4466006289</t>
  </si>
  <si>
    <t>SHY-0197</t>
  </si>
  <si>
    <t>Полад</t>
  </si>
  <si>
    <t>https://www.openstreetmap.org/node/4789453122</t>
  </si>
  <si>
    <t>SHY-0198</t>
  </si>
  <si>
    <t>Прод 113</t>
  </si>
  <si>
    <t>https://www.openstreetmap.org/node/4776884248</t>
  </si>
  <si>
    <t>SHY-0199</t>
  </si>
  <si>
    <t>продмаг</t>
  </si>
  <si>
    <t>https://www.openstreetmap.org/node/1506284784</t>
  </si>
  <si>
    <t>SHY-0200</t>
  </si>
  <si>
    <t>Продукты</t>
  </si>
  <si>
    <t>https://www.openstreetmap.org/node/10038442410</t>
  </si>
  <si>
    <t>SHY-0201</t>
  </si>
  <si>
    <t>Ралас</t>
  </si>
  <si>
    <t>https://www.openstreetmap.org/node/5220186021</t>
  </si>
  <si>
    <t>SHY-0202</t>
  </si>
  <si>
    <t>Рам Али</t>
  </si>
  <si>
    <t>https://www.openstreetmap.org/node/4441780589</t>
  </si>
  <si>
    <t>SHY-0203</t>
  </si>
  <si>
    <t>Рахат</t>
  </si>
  <si>
    <t>https://www.openstreetmap.org/node/4782489325</t>
  </si>
  <si>
    <t>SHY-0204</t>
  </si>
  <si>
    <t>https://www.openstreetmap.org/node/4885376122</t>
  </si>
  <si>
    <t>SHY-0205</t>
  </si>
  <si>
    <t>Рахымжан</t>
  </si>
  <si>
    <t>​Алматинская трасса, 23/5</t>
  </si>
  <si>
    <t>https://www.openstreetmap.org/node/10598254077</t>
  </si>
  <si>
    <t>SHY-0206</t>
  </si>
  <si>
    <t>Риза</t>
  </si>
  <si>
    <t>https://www.openstreetmap.org/node/4440164192</t>
  </si>
  <si>
    <t>SHY-0207</t>
  </si>
  <si>
    <t>Рустем</t>
  </si>
  <si>
    <t>https://www.openstreetmap.org/node/4508704590</t>
  </si>
  <si>
    <t>SHY-0208</t>
  </si>
  <si>
    <t>Сабина</t>
  </si>
  <si>
    <t>https://www.openstreetmap.org/node/4516539794</t>
  </si>
  <si>
    <t>SHY-0209</t>
  </si>
  <si>
    <t>Саги</t>
  </si>
  <si>
    <t>https://www.openstreetmap.org/node/4464366691</t>
  </si>
  <si>
    <t>SHY-0210</t>
  </si>
  <si>
    <t>Сайлаубек</t>
  </si>
  <si>
    <t>https://www.openstreetmap.org/way/1451934418</t>
  </si>
  <si>
    <t>SHY-0211</t>
  </si>
  <si>
    <t>Сайрам</t>
  </si>
  <si>
    <t>https://www.openstreetmap.org/node/4518245592</t>
  </si>
  <si>
    <t>SHY-0212</t>
  </si>
  <si>
    <t>Салтанат</t>
  </si>
  <si>
    <t>https://www.openstreetmap.org/node/4443355689</t>
  </si>
  <si>
    <t>SHY-0213</t>
  </si>
  <si>
    <t>Санжар</t>
  </si>
  <si>
    <t>https://www.openstreetmap.org/node/4456194589</t>
  </si>
  <si>
    <t>SHY-0214</t>
  </si>
  <si>
    <t>Санчо</t>
  </si>
  <si>
    <t>https://www.openstreetmap.org/node/4490046292</t>
  </si>
  <si>
    <t>SHY-0215</t>
  </si>
  <si>
    <t>Сауле</t>
  </si>
  <si>
    <t>https://www.openstreetmap.org/node/4466006089</t>
  </si>
  <si>
    <t>SHY-0216</t>
  </si>
  <si>
    <t>Сауран</t>
  </si>
  <si>
    <t>улица Гагарина, 70</t>
  </si>
  <si>
    <t>https://www.openstreetmap.org/node/3736909354</t>
  </si>
  <si>
    <t>SHY-0217</t>
  </si>
  <si>
    <t>Сейіт</t>
  </si>
  <si>
    <t>https://www.openstreetmap.org/node/4437249390</t>
  </si>
  <si>
    <t>SHY-0218</t>
  </si>
  <si>
    <t>Сити маркет</t>
  </si>
  <si>
    <t>https://www.openstreetmap.org/node/4465860990</t>
  </si>
  <si>
    <t>SHY-0219</t>
  </si>
  <si>
    <t>Согдиана</t>
  </si>
  <si>
    <t>https://www.openstreetmap.org/node/4435470493</t>
  </si>
  <si>
    <t>SHY-0220</t>
  </si>
  <si>
    <t>Солнышко</t>
  </si>
  <si>
    <t>https://www.openstreetmap.org/node/4430273089</t>
  </si>
  <si>
    <t>SHY-0221</t>
  </si>
  <si>
    <t>Сымбат</t>
  </si>
  <si>
    <t>https://www.openstreetmap.org/node/4467229190</t>
  </si>
  <si>
    <t>SHY-0222</t>
  </si>
  <si>
    <t>СƏТ</t>
  </si>
  <si>
    <t>https://www.openstreetmap.org/node/4885369021</t>
  </si>
  <si>
    <t>SHY-0223</t>
  </si>
  <si>
    <t>Табыс</t>
  </si>
  <si>
    <t>https://www.openstreetmap.org/node/11809512216</t>
  </si>
  <si>
    <t>SHY-0224</t>
  </si>
  <si>
    <t>Таншолпан</t>
  </si>
  <si>
    <t>https://www.openstreetmap.org/node/4441604690</t>
  </si>
  <si>
    <t>SHY-0225</t>
  </si>
  <si>
    <t>Тассай</t>
  </si>
  <si>
    <t>https://www.openstreetmap.org/node/1506284783</t>
  </si>
  <si>
    <t>SHY-0226</t>
  </si>
  <si>
    <t>Телеу</t>
  </si>
  <si>
    <t>https://www.openstreetmap.org/node/8664612910</t>
  </si>
  <si>
    <t>SHY-0227</t>
  </si>
  <si>
    <t>Улар</t>
  </si>
  <si>
    <t>https://www.openstreetmap.org/node/4490084491</t>
  </si>
  <si>
    <t>SHY-0228</t>
  </si>
  <si>
    <t>https://www.openstreetmap.org/node/4465871191</t>
  </si>
  <si>
    <t>SHY-0229</t>
  </si>
  <si>
    <t>Умар</t>
  </si>
  <si>
    <t>улица Казыбек Би</t>
  </si>
  <si>
    <t>https://www.openstreetmap.org/node/4435476589</t>
  </si>
  <si>
    <t>SHY-0230</t>
  </si>
  <si>
    <t>ФермМаг</t>
  </si>
  <si>
    <t>Ферм Маг</t>
  </si>
  <si>
    <t>Улица Жетысу, 23а, Шымкент, Шымкент городская администрация</t>
  </si>
  <si>
    <t>+77752633670, +77476955365</t>
  </si>
  <si>
    <t>https://instagram.com/fermmag_shymkent | https://2gis.kz/shymkent/firm/70000001059857337 | https://2gis.kz/shymkent/branches/70000001059857336 | https://wa.me/77752633670 | https://wa.me/77476955365</t>
  </si>
  <si>
    <t>https://www.openstreetmap.org/node/12580245104</t>
  </si>
  <si>
    <t>https://2gis.kz/shymkent/firm/70000001059857337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</t>
  </si>
  <si>
    <t>OpenStreetMap, 2GIS, 2GIS / сеть</t>
  </si>
  <si>
    <t>именованная OSM-точка в административной границе города | Супермаркеты · Доставка | listed_operating_with_schedule</t>
  </si>
  <si>
    <t>SHY-0231</t>
  </si>
  <si>
    <t>Фея</t>
  </si>
  <si>
    <t>https://www.openstreetmap.org/way/217933348</t>
  </si>
  <si>
    <t>SHY-0232</t>
  </si>
  <si>
    <t>Фиркан</t>
  </si>
  <si>
    <t>https://www.openstreetmap.org/node/4469652493</t>
  </si>
  <si>
    <t>SHY-0233</t>
  </si>
  <si>
    <t>Проспект Бауыржана Момышулы, 93/1</t>
  </si>
  <si>
    <t>https://www.openstreetmap.org/way/343148977</t>
  </si>
  <si>
    <t>SHY-0234</t>
  </si>
  <si>
    <t>https://www.openstreetmap.org/node/1451691080</t>
  </si>
  <si>
    <t>SHY-0235</t>
  </si>
  <si>
    <t>Фуд Мастер</t>
  </si>
  <si>
    <t>https://www.openstreetmap.org/node/4433713690</t>
  </si>
  <si>
    <t>SHY-0236</t>
  </si>
  <si>
    <t>Хадиша</t>
  </si>
  <si>
    <t>https://www.openstreetmap.org/node/4490045795</t>
  </si>
  <si>
    <t>SHY-0237</t>
  </si>
  <si>
    <t>Чайка</t>
  </si>
  <si>
    <t>https://www.openstreetmap.org/node/4433680390</t>
  </si>
  <si>
    <t>SHY-0238</t>
  </si>
  <si>
    <t>Шахар</t>
  </si>
  <si>
    <t>https://www.openstreetmap.org/node/4435465890</t>
  </si>
  <si>
    <t>SHY-0239</t>
  </si>
  <si>
    <t>Шым</t>
  </si>
  <si>
    <t>https://www.openstreetmap.org/way/400988904</t>
  </si>
  <si>
    <t>SHY-0240</t>
  </si>
  <si>
    <t>Ынтымак</t>
  </si>
  <si>
    <t>улица Турара Рыскулова, 564</t>
  </si>
  <si>
    <t>https://www.openstreetmap.org/way/400185345</t>
  </si>
  <si>
    <t>SHY-0241</t>
  </si>
  <si>
    <t>Ырыс</t>
  </si>
  <si>
    <t>https://www.openstreetmap.org/node/4435476590</t>
  </si>
  <si>
    <t>SHY-0242</t>
  </si>
  <si>
    <t>Ысты</t>
  </si>
  <si>
    <t>https://www.openstreetmap.org/node/4465871189</t>
  </si>
  <si>
    <t>SHY-0243</t>
  </si>
  <si>
    <t>Эдэм</t>
  </si>
  <si>
    <t>https://www.openstreetmap.org/node/4200188089</t>
  </si>
  <si>
    <t>SHY-0244</t>
  </si>
  <si>
    <t>Ярче</t>
  </si>
  <si>
    <t>улица Диваева, 89</t>
  </si>
  <si>
    <t>https://www.openstreetmap.org/node/4433708191</t>
  </si>
  <si>
    <t>SHY-0245</t>
  </si>
  <si>
    <t>Без названия</t>
  </si>
  <si>
    <t>https://www.openstreetmap.org/node/10106000488</t>
  </si>
  <si>
    <t>low</t>
  </si>
  <si>
    <t>OSM фиксирует физическую точку и координаты, но название и контакты не опубликованы</t>
  </si>
  <si>
    <t>SHY-0246</t>
  </si>
  <si>
    <t>https://www.openstreetmap.org/node/10105994252</t>
  </si>
  <si>
    <t>SHY-0247</t>
  </si>
  <si>
    <t>https://www.openstreetmap.org/node/8664637081</t>
  </si>
  <si>
    <t>SHY-0248</t>
  </si>
  <si>
    <t>https://www.openstreetmap.org/node/12010160569</t>
  </si>
  <si>
    <t>SHY-0249</t>
  </si>
  <si>
    <t>https://www.openstreetmap.org/way/1030350802</t>
  </si>
  <si>
    <t>SHY-0250</t>
  </si>
  <si>
    <t>https://www.openstreetmap.org/node/9932115086</t>
  </si>
  <si>
    <t>SHY-0251</t>
  </si>
  <si>
    <t>https://www.openstreetmap.org/node/4215610092</t>
  </si>
  <si>
    <t>SHY-0252</t>
  </si>
  <si>
    <t>https://www.openstreetmap.org/node/1304303008</t>
  </si>
  <si>
    <t>SHY-0253</t>
  </si>
  <si>
    <t>https://www.openstreetmap.org/node/1458044025</t>
  </si>
  <si>
    <t>SHY-0254</t>
  </si>
  <si>
    <t>Улица Алии Молдагуловой, 9/3</t>
  </si>
  <si>
    <t>https://www.openstreetmap.org/way/640936988</t>
  </si>
  <si>
    <t>SHY-0255</t>
  </si>
  <si>
    <t>https://www.openstreetmap.org/node/13773046396</t>
  </si>
  <si>
    <t>SHY-0256</t>
  </si>
  <si>
    <t>https://www.openstreetmap.org/node/12806310139</t>
  </si>
  <si>
    <t>SHY-0257</t>
  </si>
  <si>
    <t>улица Жаркымбекова (Парковая), 20</t>
  </si>
  <si>
    <t>https://www.openstreetmap.org/node/3735886887</t>
  </si>
  <si>
    <t>SHY-0258</t>
  </si>
  <si>
    <t>улица Ш.Калдаякова</t>
  </si>
  <si>
    <t>https://www.openstreetmap.org/node/4456251889</t>
  </si>
  <si>
    <t>SHY-0259</t>
  </si>
  <si>
    <t>https://www.openstreetmap.org/node/12806310142</t>
  </si>
  <si>
    <t>SHY-0260</t>
  </si>
  <si>
    <t>https://www.openstreetmap.org/node/11809524337</t>
  </si>
  <si>
    <t>SHY-0261</t>
  </si>
  <si>
    <t>https://www.openstreetmap.org/node/13722752650</t>
  </si>
  <si>
    <t>SHY-0262</t>
  </si>
  <si>
    <t>https://www.openstreetmap.org/node/7738007895</t>
  </si>
  <si>
    <t>SHY-0263</t>
  </si>
  <si>
    <t>https://www.openstreetmap.org/node/1458413014</t>
  </si>
  <si>
    <t>SHY-0264</t>
  </si>
  <si>
    <t>Юрия Гагарина улица, 145/2</t>
  </si>
  <si>
    <t>https://www.openstreetmap.org/way/368949781</t>
  </si>
  <si>
    <t>SHY-0265</t>
  </si>
  <si>
    <t>https://www.openstreetmap.org/node/1890089821</t>
  </si>
  <si>
    <t>SHY-0266</t>
  </si>
  <si>
    <t>https://www.openstreetmap.org/node/4433718589</t>
  </si>
  <si>
    <t>SHY-0267</t>
  </si>
  <si>
    <t>https://www.openstreetmap.org/node/2239472922</t>
  </si>
  <si>
    <t>SHY-0268</t>
  </si>
  <si>
    <t>https://www.openstreetmap.org/node/1352158850</t>
  </si>
  <si>
    <t>SHY-0269</t>
  </si>
  <si>
    <t>https://www.openstreetmap.org/node/1352159570</t>
  </si>
  <si>
    <t>SHY-0270</t>
  </si>
  <si>
    <t>https://www.openstreetmap.org/node/1275848971</t>
  </si>
  <si>
    <t>SHY-0271</t>
  </si>
  <si>
    <t>Улица Шокана Уалиханова, 225/15</t>
  </si>
  <si>
    <t>https://www.openstreetmap.org/way/109582399</t>
  </si>
  <si>
    <t>SHY-0272</t>
  </si>
  <si>
    <t>https://www.openstreetmap.org/way/123379538</t>
  </si>
  <si>
    <t>SHY-0273</t>
  </si>
  <si>
    <t>3-й микрорайон, 12а</t>
  </si>
  <si>
    <t>https://www.openstreetmap.org/way/112176838</t>
  </si>
  <si>
    <t>SHY-0274</t>
  </si>
  <si>
    <t>https://www.openstreetmap.org/node/4435465891</t>
  </si>
  <si>
    <t>SHY-0275</t>
  </si>
  <si>
    <t>https://www.openstreetmap.org/way/109582406</t>
  </si>
  <si>
    <t>SHY-0276</t>
  </si>
  <si>
    <t>Улица Маншук Маметовой, 1в</t>
  </si>
  <si>
    <t>https://www.openstreetmap.org/way/164152528</t>
  </si>
  <si>
    <t>SHY-0277</t>
  </si>
  <si>
    <t>Микрорайон Спортивный, 2/1</t>
  </si>
  <si>
    <t>https://www.openstreetmap.org/way/114919174</t>
  </si>
  <si>
    <t>SHY-0278</t>
  </si>
  <si>
    <t>https://www.openstreetmap.org/way/123245253</t>
  </si>
  <si>
    <t>SHY-0279</t>
  </si>
  <si>
    <t>https://www.openstreetmap.org/way/119487720</t>
  </si>
  <si>
    <t>SHY-0280</t>
  </si>
  <si>
    <t>https://www.openstreetmap.org/node/1526746281</t>
  </si>
  <si>
    <t>SHY-0281</t>
  </si>
  <si>
    <t>4-й микрорайон, 14/1</t>
  </si>
  <si>
    <t>https://www.openstreetmap.org/way/343145718</t>
  </si>
  <si>
    <t>SHY-0282</t>
  </si>
  <si>
    <t>https://www.openstreetmap.org/node/4435475590</t>
  </si>
  <si>
    <t>SHY-0283</t>
  </si>
  <si>
    <t>https://www.openstreetmap.org/node/1526746287</t>
  </si>
  <si>
    <t>SHY-0284</t>
  </si>
  <si>
    <t>https://www.openstreetmap.org/node/1526746298</t>
  </si>
  <si>
    <t>SHY-0285</t>
  </si>
  <si>
    <t>https://www.openstreetmap.org/node/4435476689</t>
  </si>
  <si>
    <t>SHY-0286</t>
  </si>
  <si>
    <t>https://www.openstreetmap.org/node/4490047991</t>
  </si>
  <si>
    <t>SHY-0287</t>
  </si>
  <si>
    <t>https://www.openstreetmap.org/node/4628176489</t>
  </si>
  <si>
    <t>SHY-0288</t>
  </si>
  <si>
    <t>https://www.openstreetmap.org/node/4490047995</t>
  </si>
  <si>
    <t>SHY-0289</t>
  </si>
  <si>
    <t>https://www.openstreetmap.org/node/5571852321</t>
  </si>
  <si>
    <t>SHY-0290</t>
  </si>
  <si>
    <t>https://www.openstreetmap.org/node/1624109609</t>
  </si>
  <si>
    <t>SHY-0291</t>
  </si>
  <si>
    <t>https://www.openstreetmap.org/node/4518308589</t>
  </si>
  <si>
    <t>SHY-0292</t>
  </si>
  <si>
    <t>https://www.openstreetmap.org/node/5571839028</t>
  </si>
  <si>
    <t>SHY-0293</t>
  </si>
  <si>
    <t>https://www.openstreetmap.org/node/4467263189</t>
  </si>
  <si>
    <t>SHY-0294</t>
  </si>
  <si>
    <t>https://www.openstreetmap.org/node/4465978100</t>
  </si>
  <si>
    <t>SHY-0295</t>
  </si>
  <si>
    <t>https://www.openstreetmap.org/node/5571839027</t>
  </si>
  <si>
    <t>SHY-0296</t>
  </si>
  <si>
    <t>https://www.openstreetmap.org/node/12787268181</t>
  </si>
  <si>
    <t>SHY-0297</t>
  </si>
  <si>
    <t>https://www.openstreetmap.org/node/3640401690</t>
  </si>
  <si>
    <t>SHY-0298</t>
  </si>
  <si>
    <t>https://www.openstreetmap.org/node/4689928089</t>
  </si>
  <si>
    <t>SHY-0299</t>
  </si>
  <si>
    <t>https://www.openstreetmap.org/node/4677605591</t>
  </si>
  <si>
    <t>SHY-0300</t>
  </si>
  <si>
    <t>https://www.openstreetmap.org/node/4969703923</t>
  </si>
  <si>
    <t>SHY-0301</t>
  </si>
  <si>
    <t>Bestau</t>
  </si>
  <si>
    <t>Центральная улица</t>
  </si>
  <si>
    <t>https://www.openstreetmap.org/way/568844361</t>
  </si>
  <si>
    <t>SHY-0302</t>
  </si>
  <si>
    <t>Crystal</t>
  </si>
  <si>
    <t>https://www.openstreetmap.org/node/4435470392</t>
  </si>
  <si>
    <t>SHY-0303</t>
  </si>
  <si>
    <t>Əсем</t>
  </si>
  <si>
    <t>Ж.Шанин, 117</t>
  </si>
  <si>
    <t>https://www.openstreetmap.org/node/4782489323</t>
  </si>
  <si>
    <t>SHY-0304</t>
  </si>
  <si>
    <t>Food Master</t>
  </si>
  <si>
    <t>https://www.openstreetmap.org/node/1356121582</t>
  </si>
  <si>
    <t>SHY-0305</t>
  </si>
  <si>
    <t>Halal food</t>
  </si>
  <si>
    <t>https://www.openstreetmap.org/node/1446284716</t>
  </si>
  <si>
    <t>SHY-0306</t>
  </si>
  <si>
    <t>Happy Korea</t>
  </si>
  <si>
    <t>https://www.openstreetmap.org/node/12966093682</t>
  </si>
  <si>
    <t>SHY-0307</t>
  </si>
  <si>
    <t>Magnum</t>
  </si>
  <si>
    <t>Проспект Республики, 42, Шымкент, Шымкент городская администрация</t>
  </si>
  <si>
    <t>7766, 7772</t>
  </si>
  <si>
    <t>http://magnum.kz | https://instagram.com/magnum.kz | https://www.magnum.kz/ | https://2gis.kz/shymkent/firm/70000001065096081 | https://2gis.kz/shymkent/branches/70000001044898537 | http://tiktok.com/@magnum.kz | https://youtube.com/@MagnumCashCarrykz | https://wa.me/77763007766</t>
  </si>
  <si>
    <t>https://www.openstreetmap.org/node/10799191102</t>
  </si>
  <si>
    <t>https://2gis.kz/shymkent/firm/70000001065096081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2</t>
  </si>
  <si>
    <t>именованная OSM-точка в административной границе города | listed_operating_with_schedule</t>
  </si>
  <si>
    <t>SHY-0308</t>
  </si>
  <si>
    <t>https://www.openstreetmap.org/node/10799233913</t>
  </si>
  <si>
    <t>SHY-0309</t>
  </si>
  <si>
    <t>Улица Акпан батыра, 111, Шымкент, Шымкент городская администрация</t>
  </si>
  <si>
    <t>http://magnum.kz | https://instagram.com/magnum.kz | https://www.magnum.kz/ | https://2gis.kz/shymkent/firm/70000001055929225 | https://2gis.kz/shymkent/branches/70000001044898537 | http://tiktok.com/@magnum.kz | https://youtube.com/@MagnumCashCarrykz | https://wa.me/77763007766</t>
  </si>
  <si>
    <t>https://www.openstreetmap.org/node/10067107766</t>
  </si>
  <si>
    <t>https://2gis.kz/shymkent/firm/70000001055929225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</t>
  </si>
  <si>
    <t>SHY-0310</t>
  </si>
  <si>
    <t>https://www.openstreetmap.org/node/10067093036</t>
  </si>
  <si>
    <t>SHY-0311</t>
  </si>
  <si>
    <t>Magnum Express</t>
  </si>
  <si>
    <t>9</t>
  </si>
  <si>
    <t>http://magnum.kz | https://instagram.com/magnum.kz | https://www.magnum.kz/ | https://2gis.kz/shymkent/firm/70000001064340706 | https://2gis.kz/shymkent/branches/70000001044898537 | http://tiktok.com/@magnum.kz | https://youtube.com/@MagnumCashCarrykz | https://wa.me/77763007766</t>
  </si>
  <si>
    <t>https://www.openstreetmap.org/way/113106948</t>
  </si>
  <si>
    <t>https://2gis.kz/shymkent/firm/70000001064340706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</t>
  </si>
  <si>
    <t>именованная OSM-точка с дополнительными контактными или адресными полями | listed_operating_with_schedule</t>
  </si>
  <si>
    <t>SHY-0312</t>
  </si>
  <si>
    <t>https://www.openstreetmap.org/node/1455157797</t>
  </si>
  <si>
    <t>SHY-0313</t>
  </si>
  <si>
    <t>https://www.openstreetmap.org/node/10067117086</t>
  </si>
  <si>
    <t>SHY-0314</t>
  </si>
  <si>
    <t>https://www.openstreetmap.org/node/10067060882</t>
  </si>
  <si>
    <t>SHY-0315</t>
  </si>
  <si>
    <t>Royal</t>
  </si>
  <si>
    <t>Улица Диваева, 129, Шымкент, Шымкент городская администрация</t>
  </si>
  <si>
    <t>https://www.openstreetmap.org/way/134872800</t>
  </si>
  <si>
    <t>https://2gis.kz/shymkent/firm/70000001026488468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4</t>
  </si>
  <si>
    <t>SHY-0316</t>
  </si>
  <si>
    <t>Start</t>
  </si>
  <si>
    <t>https://www.openstreetmap.org/node/4435470494</t>
  </si>
  <si>
    <t>SHY-0317</t>
  </si>
  <si>
    <t>Tokpokki</t>
  </si>
  <si>
    <t>https://www.openstreetmap.org/node/11811900528</t>
  </si>
  <si>
    <t>SHY-0318</t>
  </si>
  <si>
    <t>24/7</t>
  </si>
  <si>
    <t>улица Мангельдина, 40</t>
  </si>
  <si>
    <t>+77006625793, +77712620707</t>
  </si>
  <si>
    <t>https://2gis.kz/shymkent/firm/70000001094361219</t>
  </si>
  <si>
    <t>https://2gis.kz/shymkent/search/%D0%9F%D1%80%D0%BE%D0%B4%D1%83%D0%BA%D1%82%D0%BE%D0%B2%D1%8B%D0%B5%20%D0%BC%D0%B0%D0%B3%D0%B0%D0%B7%D0%B8%D0%BD%D1%8B</t>
  </si>
  <si>
    <t>2GIS</t>
  </si>
  <si>
    <t>актуальная карточка физического филиала 2GIS с координатами</t>
  </si>
  <si>
    <t>SHY-0319</t>
  </si>
  <si>
    <t>Арман қала</t>
  </si>
  <si>
    <t>Туркия улица, 2/1блок</t>
  </si>
  <si>
    <t>+77026510506</t>
  </si>
  <si>
    <t>https://2gis.kz/shymkent/firm/70000001089402326</t>
  </si>
  <si>
    <t>https://2gis.kz/shymkent/search/%D0%9F%D1%80%D0%BE%D0%B4%D1%83%D0%BA%D1%82%D0%BE%D0%B2%D1%8B%D0%B5%20%D0%BC%D0%B0%D0%B3%D0%B0%D0%B7%D0%B8%D0%BD%D1%8B/page/2</t>
  </si>
  <si>
    <t>SHY-0320</t>
  </si>
  <si>
    <t>Жаналык</t>
  </si>
  <si>
    <t>ЖК Кок жайлау</t>
  </si>
  <si>
    <t>+77088900490</t>
  </si>
  <si>
    <t>https://instagram.com/zhanalyk_market_ | https://2gis.kz/shymkent/firm/70000001112394194 | https://2gis.kz/shymkent/branches/70000001026492732</t>
  </si>
  <si>
    <t>https://2gis.kz/shymkent/firm/70000001112394194</t>
  </si>
  <si>
    <t>2GIS, 2GIS / сеть</t>
  </si>
  <si>
    <t>актуальная карточка физического филиала 2GIS с координатами | listed_operating_with_schedule</t>
  </si>
  <si>
    <t>SHY-0321</t>
  </si>
  <si>
    <t>https://www.openstreetmap.org/node/12117313901</t>
  </si>
  <si>
    <t>SHY-0322</t>
  </si>
  <si>
    <t>Оптовый маркет</t>
  </si>
  <si>
    <t>проспект Нурсултана Назарбаева, 19 к С</t>
  </si>
  <si>
    <t>+77715725728</t>
  </si>
  <si>
    <t>https://2gis.kz/shymkent/firm/70000001111385851</t>
  </si>
  <si>
    <t>SHY-0323</t>
  </si>
  <si>
    <t>Пахтакор 12</t>
  </si>
  <si>
    <t>улица Кеме калган, 15</t>
  </si>
  <si>
    <t>https://2gis.kz/shymkent/firm/70000001090008919</t>
  </si>
  <si>
    <t>https://2gis.kz/shymkent/search/%D0%9F%D1%80%D0%BE%D0%B4%D1%83%D0%BA%D1%82%D0%BE%D0%B2%D1%8B%D0%B5%20%D0%BC%D0%B0%D0%B3%D0%B0%D0%B7%D0%B8%D0%BD%D1%8B/page/4</t>
  </si>
  <si>
    <t>SHY-0324</t>
  </si>
  <si>
    <t>Туран 2</t>
  </si>
  <si>
    <t>микрорайон Туран, 44а</t>
  </si>
  <si>
    <t>+77028834758</t>
  </si>
  <si>
    <t>https://2gis.kz/shymkent/firm/70000001059993574</t>
  </si>
  <si>
    <t>SHY-0325</t>
  </si>
  <si>
    <t>У дома</t>
  </si>
  <si>
    <t>микрорайон Сайрам, 9/1</t>
  </si>
  <si>
    <t>+77010945000</t>
  </si>
  <si>
    <t>https://2gis.kz/shymkent/firm/70000001116498086</t>
  </si>
  <si>
    <t>SHY-0326</t>
  </si>
  <si>
    <t>Чапаевка</t>
  </si>
  <si>
    <t>Исатай Тайманулы улица, 15</t>
  </si>
  <si>
    <t>+77026912923</t>
  </si>
  <si>
    <t>https://2gis.kz/shymkent/firm/70000001028127468</t>
  </si>
  <si>
    <t>https://2gis.kz/shymkent/search/%D0%9F%D1%80%D0%BE%D0%B4%D1%83%D0%BA%D1%82%D0%BE%D0%B2%D1%8B%D0%B5%20%D0%BC%D0%B0%D0%B3%D0%B0%D0%B7%D0%B8%D0%BD%D1%8B/page/3</t>
  </si>
  <si>
    <t>SHY-0327</t>
  </si>
  <si>
    <t>Юбилейка</t>
  </si>
  <si>
    <t>проспект Кабанбай батыра, 13</t>
  </si>
  <si>
    <t>+77756744247</t>
  </si>
  <si>
    <t>https://2gis.kz/shymkent/firm/70000001055795825</t>
  </si>
  <si>
    <t>SHY-0328</t>
  </si>
  <si>
    <t>Dana</t>
  </si>
  <si>
    <t>проспект Тауке хана, 67</t>
  </si>
  <si>
    <t>+77471249177</t>
  </si>
  <si>
    <t>https://2gis.kz/shymkent/firm/70000001097163539</t>
  </si>
  <si>
    <t>SHY-0329</t>
  </si>
  <si>
    <t>Darhan</t>
  </si>
  <si>
    <t>улица Дулати, 25</t>
  </si>
  <si>
    <t>+77471226662</t>
  </si>
  <si>
    <t>https://2gis.kz/shymkent/firm/70000001045583997</t>
  </si>
  <si>
    <t>SHY-0330</t>
  </si>
  <si>
    <t>Magazin u doma</t>
  </si>
  <si>
    <t>улица Жангельдина, 8Б</t>
  </si>
  <si>
    <t>+77029698248</t>
  </si>
  <si>
    <t>https://2gis.kz/shymkent/firm/70000001082383983</t>
  </si>
  <si>
    <t>SHY-0331</t>
  </si>
  <si>
    <t>Ақжан</t>
  </si>
  <si>
    <t>проспект Нурсултана Назарбаева, 111</t>
  </si>
  <si>
    <t>+77783110971</t>
  </si>
  <si>
    <t>https://2gis.kz/shymkent/firm/70000001044733165</t>
  </si>
  <si>
    <t>SHY-0332</t>
  </si>
  <si>
    <t>Возможная сеть: Максат</t>
  </si>
  <si>
    <t>улица Курманбекова, 10/2</t>
  </si>
  <si>
    <t>+77763746644</t>
  </si>
  <si>
    <t>https://2gis.kz/shymkent/firm/70000001026009498</t>
  </si>
  <si>
    <t>SHY-0333</t>
  </si>
  <si>
    <t>МММ</t>
  </si>
  <si>
    <t>улица Казиева, 58/2</t>
  </si>
  <si>
    <t>+77012239496, +77015901111</t>
  </si>
  <si>
    <t>https://2gis.kz/shymkent/firm/70000001027786802</t>
  </si>
  <si>
    <t>https://www.openstreetmap.org/node/6345282615</t>
  </si>
  <si>
    <t>2GIS, OpenStreetMap</t>
  </si>
  <si>
    <t>совпадение/подтверждение в нескольких источниках</t>
  </si>
  <si>
    <t>SHY-0334</t>
  </si>
  <si>
    <t>Возможная сеть: Олжа</t>
  </si>
  <si>
    <t>улица Утегенова, 603/4</t>
  </si>
  <si>
    <t>+77087124354</t>
  </si>
  <si>
    <t>https://2gis.kz/shymkent/firm/70000001027776079</t>
  </si>
  <si>
    <t>SHY-0335</t>
  </si>
  <si>
    <t>Оптовик 2</t>
  </si>
  <si>
    <t>Возможная сеть: Оптовик 2</t>
  </si>
  <si>
    <t>улица Сырым батыра, 80/1</t>
  </si>
  <si>
    <t>https://2gis.kz/shymkent/firm/70000001062463227</t>
  </si>
  <si>
    <t>SHY-0336</t>
  </si>
  <si>
    <t>Возможная сеть: Табыс</t>
  </si>
  <si>
    <t>улица Камбарулы, 56/1</t>
  </si>
  <si>
    <t>+77014089911</t>
  </si>
  <si>
    <t>https://2gis.kz/shymkent/firm/70000001028490320</t>
  </si>
  <si>
    <t>SHY-0337</t>
  </si>
  <si>
    <t>Jasar</t>
  </si>
  <si>
    <t>улица Гагарина, 24а</t>
  </si>
  <si>
    <t>+77017997878, +77767397878</t>
  </si>
  <si>
    <t>https://2gis.kz/shymkent/firm/70000001098705286</t>
  </si>
  <si>
    <t>SHY-0338</t>
  </si>
  <si>
    <t>Max Market</t>
  </si>
  <si>
    <t>микрорайон Север, 36/3</t>
  </si>
  <si>
    <t>+77711363707</t>
  </si>
  <si>
    <t>https://instagram.com/max.market.kz | https://2gis.kz/shymkent/firm/70000001063728870 | https://2gis.kz/shymkent/branches/70000001026188724 | https://wa.me/77711363707</t>
  </si>
  <si>
    <t>https://2gis.kz/shymkent/firm/70000001063728870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</si>
  <si>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</t>
  </si>
  <si>
    <t>актуальная карточка физического филиала 2GIS с координатами | Супермаркеты · Кофе с собой · Доставка | listed_operating_with_schedule</t>
  </si>
  <si>
    <t>SHY-0339</t>
  </si>
  <si>
    <t>24/7 Adilet</t>
  </si>
  <si>
    <t>улица Аргынбекова, 175</t>
  </si>
  <si>
    <t>+77077217478</t>
  </si>
  <si>
    <t>https://instagram.com/adilet_supermarket | https://2gis.kz/shymkent/firm/70000001101873641 | https://2gis.kz/shymkent/branches/70000001101873640 | https://wa.me/77077217478</t>
  </si>
  <si>
    <t>https://2gis.kz/shymkent/firm/70000001101873641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</si>
  <si>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</t>
  </si>
  <si>
    <t>актуальная карточка физического филиала 2GIS с координатами | Супермаркеты · Доставка | listed_operating_with_schedule</t>
  </si>
  <si>
    <t>SHY-0340</t>
  </si>
  <si>
    <t>888</t>
  </si>
  <si>
    <t>https://www.openstreetmap.org/node/4393133889</t>
  </si>
  <si>
    <t>SHY-0341</t>
  </si>
  <si>
    <t>Аврора</t>
  </si>
  <si>
    <t>улица Алдиярова, 12Г</t>
  </si>
  <si>
    <t>https://www.openstreetmap.org/node/6096972218</t>
  </si>
  <si>
    <t>SHY-0342</t>
  </si>
  <si>
    <t>Алатау</t>
  </si>
  <si>
    <t>https://www.openstreetmap.org/node/4465871192</t>
  </si>
  <si>
    <t>SHY-0343</t>
  </si>
  <si>
    <t>Тамерлановское шоссе, 36/1, Шымкент, Шымкент городская администрация</t>
  </si>
  <si>
    <t>+77053320232</t>
  </si>
  <si>
    <t>https://www.openstreetmap.org/node/3728571231</t>
  </si>
  <si>
    <t>https://2gis.kz/shymkent/firm/70000001082669321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4</t>
  </si>
  <si>
    <t>SHY-0344</t>
  </si>
  <si>
    <t>https://www.openstreetmap.org/node/4613361791</t>
  </si>
  <si>
    <t>https://2gis.kz/shymkent/firm/70000001026009118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3</t>
  </si>
  <si>
    <t>SHY-0345</t>
  </si>
  <si>
    <t>Ассорти</t>
  </si>
  <si>
    <t>https://www.openstreetmap.org/node/4481364189</t>
  </si>
  <si>
    <t>SHY-0346</t>
  </si>
  <si>
    <t>Баян Сулу</t>
  </si>
  <si>
    <t>улица Байтурсынова, 19</t>
  </si>
  <si>
    <t>https://www.openstreetmap.org/way/114058852</t>
  </si>
  <si>
    <t>SHY-0347</t>
  </si>
  <si>
    <t>Баян Сұлу</t>
  </si>
  <si>
    <t>Тамерлановское шоссе, 3/5</t>
  </si>
  <si>
    <t>https://instagram.com/bayansulu.shymkent | https://2gis.kz/shymkent/firm/70000001026084177 | https://2gis.kz/shymkent/branches/70000001026084176</t>
  </si>
  <si>
    <t>https://2gis.kz/shymkent/firm/70000001026084177</t>
  </si>
  <si>
    <t>https://www.openstreetmap.org/way/111996850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</t>
  </si>
  <si>
    <t>2GIS, OpenStreetMap, 2GIS / сеть</t>
  </si>
  <si>
    <t>совпадение/подтверждение в нескольких источниках | Супермаркеты · Кофе с собой | listed_operating_with_schedule</t>
  </si>
  <si>
    <t>SHY-0348</t>
  </si>
  <si>
    <t>Грамад</t>
  </si>
  <si>
    <t>https://www.openstreetmap.org/node/3773500308</t>
  </si>
  <si>
    <t>SHY-0349</t>
  </si>
  <si>
    <t>https://www.openstreetmap.org/node/10857482310</t>
  </si>
  <si>
    <t>SHY-0350</t>
  </si>
  <si>
    <t>Дан</t>
  </si>
  <si>
    <t>https://www.openstreetmap.org/node/4529884639</t>
  </si>
  <si>
    <t>SHY-0351</t>
  </si>
  <si>
    <t>Дархан</t>
  </si>
  <si>
    <t>https://www.openstreetmap.org/node/1458043958</t>
  </si>
  <si>
    <t>SHY-0352</t>
  </si>
  <si>
    <t>Жақсылық</t>
  </si>
  <si>
    <t>https://www.openstreetmap.org/node/6345329802</t>
  </si>
  <si>
    <t>SHY-0353</t>
  </si>
  <si>
    <t>микрорайон Нурсат, 81</t>
  </si>
  <si>
    <t>Каратауский</t>
  </si>
  <si>
    <t>+77716431211</t>
  </si>
  <si>
    <t>https://instagram.com/zhanalyk_market_ | https://2gis.kz/shymkent/firm/70000001026505700 | https://2gis.kz/shymkent/branches/70000001026492732 | https://wa.me/77716431211</t>
  </si>
  <si>
    <t>https://2gis.kz/shymkent/firm/70000001026505700</t>
  </si>
  <si>
    <t>https://www.openstreetmap.org/node/3204748843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</t>
  </si>
  <si>
    <t>совпадение/подтверждение в нескольких источниках | Супермаркеты · Доставка | listed_operating_with_schedule</t>
  </si>
  <si>
    <t>SHY-0354</t>
  </si>
  <si>
    <t>Жанина</t>
  </si>
  <si>
    <t>https://www.openstreetmap.org/node/5220165330</t>
  </si>
  <si>
    <t>SHY-0355</t>
  </si>
  <si>
    <t>Жейхун</t>
  </si>
  <si>
    <t>проспект Республики, 24/1</t>
  </si>
  <si>
    <t>+77013344245, +77017451568</t>
  </si>
  <si>
    <t>https://2gis.kz/shymkent/firm/70000001025819085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</si>
  <si>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</t>
  </si>
  <si>
    <t>SHY-0356</t>
  </si>
  <si>
    <t>Имран</t>
  </si>
  <si>
    <t>проспект Тауке хана, 29</t>
  </si>
  <si>
    <t>https://2gis.kz/shymkent/firm/70000001025765601</t>
  </si>
  <si>
    <t>https://www.openstreetmap.org/relation/1804637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</t>
  </si>
  <si>
    <t>SHY-0357</t>
  </si>
  <si>
    <t>https://www.openstreetmap.org/node/3302013296</t>
  </si>
  <si>
    <t>SHY-0358</t>
  </si>
  <si>
    <t>Керуен</t>
  </si>
  <si>
    <t>микрорайон Бозарык, 2а</t>
  </si>
  <si>
    <t>+77763558755</t>
  </si>
  <si>
    <t>https://2gis.kz/shymkent/firm/70000001067332793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</si>
  <si>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</t>
  </si>
  <si>
    <t>SHY-0359</t>
  </si>
  <si>
    <t>Магжан</t>
  </si>
  <si>
    <t>https://www.openstreetmap.org/node/6345384312</t>
  </si>
  <si>
    <t>SHY-0360</t>
  </si>
  <si>
    <t>https://www.openstreetmap.org/node/1423774094</t>
  </si>
  <si>
    <t>SHY-0361</t>
  </si>
  <si>
    <t>улица Аргынбекова, 29/4 к3</t>
  </si>
  <si>
    <t>+77758408340</t>
  </si>
  <si>
    <t>https://2gis.kz/shymkent/firm/70000001071757893</t>
  </si>
  <si>
    <t>актуальная карточка физического филиала 2GIS с координатами | Супермаркеты · Доставка</t>
  </si>
  <si>
    <t>SHY-0362</t>
  </si>
  <si>
    <t>Ота</t>
  </si>
  <si>
    <t>https://www.openstreetmap.org/way/934991114</t>
  </si>
  <si>
    <t>SHY-0363</t>
  </si>
  <si>
    <t>Рахмет</t>
  </si>
  <si>
    <t>улица Курманбекова, 5/1</t>
  </si>
  <si>
    <t>https://www.openstreetmap.org/node/4085841115</t>
  </si>
  <si>
    <t>https://www.openstreetmap.org/way/369842550</t>
  </si>
  <si>
    <t>SHY-0364</t>
  </si>
  <si>
    <t>Сайман</t>
  </si>
  <si>
    <t>Возможная сеть: Сайман</t>
  </si>
  <si>
    <t>улица Байтерекова, 9а</t>
  </si>
  <si>
    <t>+77081267430, +77026535595, +77771930830</t>
  </si>
  <si>
    <t>https://2gis.kz/shymkent/firm/70000001026495301</t>
  </si>
  <si>
    <t>SHY-0365</t>
  </si>
  <si>
    <t>https://www.openstreetmap.org/node/4437831790</t>
  </si>
  <si>
    <t>SHY-0366</t>
  </si>
  <si>
    <t>Светофор</t>
  </si>
  <si>
    <t>проспект Кабанбай батыра, 10</t>
  </si>
  <si>
    <t>https://instagram.com/svetofor_yubileyka | https://2gis.kz/shymkent/firm/70000001086902380 | https://2gis.kz/shymkent/branches/70000001031475104</t>
  </si>
  <si>
    <t>https://2gis.kz/shymkent/firm/70000001086902380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</si>
  <si>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</t>
  </si>
  <si>
    <t>SHY-0367</t>
  </si>
  <si>
    <t>улица Жибек жолы, 78/11</t>
  </si>
  <si>
    <t>+77252610212</t>
  </si>
  <si>
    <t>https://instagram.com/svetofor.shymkent | https://2gis.kz/shymkent/firm/70000001031475105 | https://2gis.kz/shymkent/branches/70000001031475104</t>
  </si>
  <si>
    <t>https://2gis.kz/shymkent/firm/70000001031475105</t>
  </si>
  <si>
    <t>SHY-0368</t>
  </si>
  <si>
    <t>улица Тулеметова, 12/1</t>
  </si>
  <si>
    <t>+77252610544, +77014795451</t>
  </si>
  <si>
    <t>https://instagram.com/svetofor_shym_tolemetova | https://2gis.kz/shymkent/firm/70000001049038460 | https://2gis.kz/shymkent/branches/70000001031475104</t>
  </si>
  <si>
    <t>https://2gis.kz/shymkent/firm/70000001049038460</t>
  </si>
  <si>
    <t>SHY-0369</t>
  </si>
  <si>
    <t>Супермаркет "ЭФЭ"</t>
  </si>
  <si>
    <t>улица Елшибек батыра, 84</t>
  </si>
  <si>
    <t>https://www.openstreetmap.org/way/335241149</t>
  </si>
  <si>
    <t>SHY-0370</t>
  </si>
  <si>
    <t>ТД Бестерек</t>
  </si>
  <si>
    <t>улица Акназар Хана, 2</t>
  </si>
  <si>
    <t>Енбекшинский</t>
  </si>
  <si>
    <t>+77021066000, +77077102983</t>
  </si>
  <si>
    <t>https://www.openstreetmap.org/node/4105332789</t>
  </si>
  <si>
    <t>https://2gis.kz/shymkent/firm/70000001026081158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</t>
  </si>
  <si>
    <t>именованная OSM-точка с дополнительными контактными или адресными полями | Супермаркеты · Доставка</t>
  </si>
  <si>
    <t>SHY-0371</t>
  </si>
  <si>
    <t>Тұмар</t>
  </si>
  <si>
    <t>улица Сырым батыра, 11/10</t>
  </si>
  <si>
    <t>+77028913752, +77011930111</t>
  </si>
  <si>
    <t>https://2gis.kz/shymkent/firm/70000001060805391</t>
  </si>
  <si>
    <t>SHY-0372</t>
  </si>
  <si>
    <t>Фархад</t>
  </si>
  <si>
    <t>https://www.openstreetmap.org/node/6345291940</t>
  </si>
  <si>
    <t>SHY-0373</t>
  </si>
  <si>
    <t>Флешка</t>
  </si>
  <si>
    <t>https://www.openstreetmap.org/node/1458412993</t>
  </si>
  <si>
    <t>SHY-0374</t>
  </si>
  <si>
    <t>Хансултан</t>
  </si>
  <si>
    <t>Абдикадира Абдыразакова улица, 1/1, Шымкент, Шымкент городская администрация</t>
  </si>
  <si>
    <t>https://www.openstreetmap.org/node/3914654291</t>
  </si>
  <si>
    <t>https://2gis.kz/shymkent/firm/70000001026611559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</t>
  </si>
  <si>
    <t>SHY-0375</t>
  </si>
  <si>
    <t>Шахан 2</t>
  </si>
  <si>
    <t>https://www.openstreetmap.org/node/4522538490</t>
  </si>
  <si>
    <t>SHY-0376</t>
  </si>
  <si>
    <t>ЭЛИТ супермаркет</t>
  </si>
  <si>
    <t>Улица Турара Рыскулова, 508/2</t>
  </si>
  <si>
    <t>https://www.openstreetmap.org/way/1037910053</t>
  </si>
  <si>
    <t>SHY-0377</t>
  </si>
  <si>
    <t>Улица Момынова, 1/9</t>
  </si>
  <si>
    <t>https://www.openstreetmap.org/way/560805562</t>
  </si>
  <si>
    <t>SHY-0378</t>
  </si>
  <si>
    <t>https://www.openstreetmap.org/relation/1902683</t>
  </si>
  <si>
    <t>SHY-0379</t>
  </si>
  <si>
    <t>https://www.openstreetmap.org/node/7327767148</t>
  </si>
  <si>
    <t>SHY-0380</t>
  </si>
  <si>
    <t>https://www.openstreetmap.org/node/7327759206</t>
  </si>
  <si>
    <t>SHY-0381</t>
  </si>
  <si>
    <t>https://www.openstreetmap.org/node/7327728656</t>
  </si>
  <si>
    <t>SHY-0382</t>
  </si>
  <si>
    <t>Al` Market</t>
  </si>
  <si>
    <t>проспект Нурсултана Назарбаева, 50</t>
  </si>
  <si>
    <t>+77026086037, +77776695380</t>
  </si>
  <si>
    <t>https://instagram.com/almarket_shym</t>
  </si>
  <si>
    <t>https://2gis.kz/shymkent/firm/70000001095380223</t>
  </si>
  <si>
    <t>SHY-0383</t>
  </si>
  <si>
    <t>ARNAU</t>
  </si>
  <si>
    <t>https://www.openstreetmap.org/node/6345461870</t>
  </si>
  <si>
    <t>SHY-0384</t>
  </si>
  <si>
    <t>Assel</t>
  </si>
  <si>
    <t>https://www.openstreetmap.org/node/4508775989</t>
  </si>
  <si>
    <t>SHY-0385</t>
  </si>
  <si>
    <t>Erdau shop</t>
  </si>
  <si>
    <t>https://www.openstreetmap.org/node/5251726227</t>
  </si>
  <si>
    <t>SHY-0386</t>
  </si>
  <si>
    <t>F-mart</t>
  </si>
  <si>
    <t>проспект Тауке хана, 330</t>
  </si>
  <si>
    <t>+77777670011</t>
  </si>
  <si>
    <t>http://taplink.cc/fmart.kz?fbclid=PAZXh0bgNhZW0CMTEAAac0jiNxLyGh3bOcVcZL8EKz2Ey5MdOjGTi_VM1CGKVrVdPXytihzWz_XDun4w_aem_ak5dzaaUSeNN6rFABVmrug | https://instagram.com/fmart.kz | https://t.me/fmart_kz | https://2gis.kz/shymkent/firm/70000001091415166 | https://2gis.kz/shymkent/branches/70000001075900534 | https://facebook.com/fmarrt.kz | https://wa.me/77777670011</t>
  </si>
  <si>
    <t>https://2gis.kz/shymkent/firm/70000001091415166</t>
  </si>
  <si>
    <t>https://www.openstreetmap.org/node/12881062629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</t>
  </si>
  <si>
    <t>SHY-0387</t>
  </si>
  <si>
    <t>улица Адырбекова, 39</t>
  </si>
  <si>
    <t>http://taplink.cc/fmart.kz?fbclid=PAZXh0bgNhZW0CMTEAAac0jiNxLyGh3bOcVcZL8EKz2Ey5MdOjGTi_VM1CGKVrVdPXytihzWz_XDun4w_aem_ak5dzaaUSeNN6rFABVmrug | https://instagram.com/fmart.kz | https://t.me/fmart_kz | https://2gis.kz/shymkent/firm/70000001075900535 | https://2gis.kz/shymkent/branches/70000001075900534 | https://facebook.com/fmarrt.kz | https://wa.me/77777670011</t>
  </si>
  <si>
    <t>https://2gis.kz/shymkent/firm/70000001075900535</t>
  </si>
  <si>
    <t>https://www.openstreetmap.org/node/4595967289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</t>
  </si>
  <si>
    <t>SHY-0388</t>
  </si>
  <si>
    <t>улица Желтоксан, 4</t>
  </si>
  <si>
    <t>http://taplink.cc/fmart.kz?fbclid=PAZXh0bgNhZW0CMTEAAac0jiNxLyGh3bOcVcZL8EKz2Ey5MdOjGTi_VM1CGKVrVdPXytihzWz_XDun4w_aem_ak5dzaaUSeNN6rFABVmrug | https://instagram.com/fmart.kz | https://t.me/fmart_kz | https://2gis.kz/shymkent/firm/70000001094432769 | https://2gis.kz/shymkent/branches/70000001075900534 | https://facebook.com/fmarrt.kz | https://wa.me/77777670011</t>
  </si>
  <si>
    <t>https://2gis.kz/shymkent/firm/70000001094432769</t>
  </si>
  <si>
    <t>https://www.openstreetmap.org/node/12881062630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</t>
  </si>
  <si>
    <t>SHY-0389</t>
  </si>
  <si>
    <t>улица Тулеметова, 217а</t>
  </si>
  <si>
    <t>http://taplink.cc/fmart.kz?fbclid=PAZXh0bgNhZW0CMTEAAac0jiNxLyGh3bOcVcZL8EKz2Ey5MdOjGTi_VM1CGKVrVdPXytihzWz_XDun4w_aem_ak5dzaaUSeNN6rFABVmrug | https://instagram.com/fmart.kz | https://t.me/fmart_kz | https://2gis.kz/shymkent/firm/70000001110002135 | https://2gis.kz/shymkent/branches/70000001075900534 | https://facebook.com/fmarrt.kz | https://wa.me/77777670011</t>
  </si>
  <si>
    <t>https://2gis.kz/shymkent/firm/70000001110002135</t>
  </si>
  <si>
    <t>SHY-0390</t>
  </si>
  <si>
    <t>Проспект Байдибек би, 362/7, Шымкент, Шымкент городская администрация</t>
  </si>
  <si>
    <t>+7 777 767 0011, +77777670011</t>
  </si>
  <si>
    <t>http://taplink.cc/fmart.kz?fbclid=PAZXh0bgNhZW0CMTEAAac0jiNxLyGh3bOcVcZL8EKz2Ey5MdOjGTi_VM1CGKVrVdPXytihzWz_XDun4w_aem_ak5dzaaUSeNN6rFABVmrug | https://instagram.com/fmart.kz | https://t.me/fmart_kz | https://2gis.kz/shymkent/firm/70000001082456370 | https://2gis.kz/shymkent/branches/70000001075900534 | https://facebook.com/fmarrt.kz | https://wa.me/77777670011</t>
  </si>
  <si>
    <t>https://www.openstreetmap.org/node/12881062631</t>
  </si>
  <si>
    <t>https://2gis.kz/shymkent/firm/70000001082456370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2</t>
  </si>
  <si>
    <t>именованная OSM-точка с дополнительными контактными или адресными полями | Супермаркеты · Кофе с собой · Доставка | listed_operating_with_schedule</t>
  </si>
  <si>
    <t>SHY-0391</t>
  </si>
  <si>
    <t>Gra Mad</t>
  </si>
  <si>
    <t>Возможная сеть: Gra Mad</t>
  </si>
  <si>
    <t>https://www.openstreetmap.org/node/11779189919</t>
  </si>
  <si>
    <t>SHY-0392</t>
  </si>
  <si>
    <t>GraMaD</t>
  </si>
  <si>
    <t>улица Жангельдина, 3</t>
  </si>
  <si>
    <t>+77777888899</t>
  </si>
  <si>
    <t>http://gramad.kz | https://instagram.com/gramad.kz | https://www.gramad.kz/ | https://2gis.kz/shymkent/firm/70000001043656373 | https://2gis.kz/shymkent/branches/70000001035716168 | https://wa.me/77087776129</t>
  </si>
  <si>
    <t>https://2gis.kz/shymkent/firm/70000001043656373</t>
  </si>
  <si>
    <t>SHY-0393</t>
  </si>
  <si>
    <t>проспект Момышулы, 6</t>
  </si>
  <si>
    <t>http://gramad.kz | https://instagram.com/gramad.kz | https://www.gramad.kz/ | https://2gis.kz/shymkent/firm/70000001036394687 | https://2gis.kz/shymkent/branches/70000001035716168 | https://wa.me/77087776129</t>
  </si>
  <si>
    <t>https://2gis.kz/shymkent/firm/70000001036394687</t>
  </si>
  <si>
    <t>актуальная карточка физического филиала 2GIS с координатами | Супермаркеты · Кофе с собой | listed_operating_with_schedule</t>
  </si>
  <si>
    <t>SHY-0394</t>
  </si>
  <si>
    <t>улица Иляева, 10</t>
  </si>
  <si>
    <t>http://gramad.kz | https://instagram.com/gramad.kz | https://www.gramad.kz/ | https://2gis.kz/shymkent/firm/70000001051530513 | https://2gis.kz/shymkent/branches/70000001035716168 | https://wa.me/77087776129</t>
  </si>
  <si>
    <t>https://2gis.kz/shymkent/firm/70000001051530513</t>
  </si>
  <si>
    <t>SHY-0395</t>
  </si>
  <si>
    <t>улица Жибек жолы, 58</t>
  </si>
  <si>
    <t>+77777888899, +77087776129</t>
  </si>
  <si>
    <t>http://gramad.kz | https://instagram.com/gramad.kz | https://www.gramad.kz/ | https://2gis.kz/shymkent/firm/70000001035716169 | https://2gis.kz/shymkent/branches/70000001035716168 | https://wa.me/77087776129 | https://facebook.com/GramadKz</t>
  </si>
  <si>
    <t>https://2gis.kz/shymkent/firm/70000001035716169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</si>
  <si>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</t>
  </si>
  <si>
    <t>SHY-0396</t>
  </si>
  <si>
    <t>улица Казиева, 98/3</t>
  </si>
  <si>
    <t>http://gramad.kz | https://instagram.com/gramad.kz | https://www.gramad.kz/ | https://2gis.kz/shymkent/firm/70000001061399579 | https://2gis.kz/shymkent/branches/70000001035716168 | https://wa.me/77087776129</t>
  </si>
  <si>
    <t>https://2gis.kz/shymkent/firm/70000001061399579</t>
  </si>
  <si>
    <t>SHY-0397</t>
  </si>
  <si>
    <t>микрорайон Нурсат, 214</t>
  </si>
  <si>
    <t>https://glovoapp.com/ru/kz/shymkent | https://instagram.com/gramad.kz | https://www.gramad.kz/ | https://2gis.kz/shymkent/firm/70000001063485049 | https://2gis.kz/shymkent/branches/70000001035716168 | http://gramad.kz | https://wa.me/77087776129</t>
  </si>
  <si>
    <t>https://2gis.kz/shymkent/firm/70000001063485049</t>
  </si>
  <si>
    <t>SHY-0398</t>
  </si>
  <si>
    <t>улица Тулеметова, 69/42</t>
  </si>
  <si>
    <t>http://gramad.kz | https://instagram.com/gramad.kz | https://www.gramad.kz/ | https://2gis.kz/shymkent/firm/70000001044416106 | https://2gis.kz/shymkent/branches/70000001035716168 | https://wa.me/77087776129</t>
  </si>
  <si>
    <t>https://2gis.kz/shymkent/firm/70000001044416106</t>
  </si>
  <si>
    <t>SHY-0399</t>
  </si>
  <si>
    <t>Grand Bereke</t>
  </si>
  <si>
    <t>микрорайон Астана, 80</t>
  </si>
  <si>
    <t>+77755200492</t>
  </si>
  <si>
    <t>https://instagram.com/grandbereke_supermarket</t>
  </si>
  <si>
    <t>https://2gis.kz/shymkent/firm/70000001058927713</t>
  </si>
  <si>
    <t>актуальная карточка физического филиала 2GIS с координатами | Супермаркеты · Кофе с собой</t>
  </si>
  <si>
    <t>SHY-0400</t>
  </si>
  <si>
    <t>улица Капал батыра, 6/4</t>
  </si>
  <si>
    <t>http://magnum.kz | https://instagram.com/magnum.kz | https://www.magnum.kz/ | https://2gis.kz/shymkent/firm/70000001065979634 | https://2gis.kz/shymkent/branches/70000001044898537 | http://tiktok.com/@magnum.kz | https://youtube.com/@MagnumCashCarrykz | https://wa.me/77763007766</t>
  </si>
  <si>
    <t>https://2gis.kz/shymkent/firm/70000001065979634</t>
  </si>
  <si>
    <t>https://www.openstreetmap.org/node/10804017142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</t>
  </si>
  <si>
    <t>SHY-0401</t>
  </si>
  <si>
    <t>улица Володарского, 27/10</t>
  </si>
  <si>
    <t>http://magnum.kz | https://instagram.com/magnum.kz | https://www.magnum.kz/ | https://2gis.kz/shymkent/firm/70000001026076266 | https://2gis.kz/shymkent/branches/70000001044898537 | http://tiktok.com/@magnum.kz | https://youtube.com/@MagnumCashCarrykz | https://wa.me/77763007766</t>
  </si>
  <si>
    <t>https://2gis.kz/shymkent/firm/70000001026076266</t>
  </si>
  <si>
    <t>https://www.openstreetmap.org/node/1783575220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</t>
  </si>
  <si>
    <t>совпадение/подтверждение в нескольких источниках | listed_operating_with_schedule</t>
  </si>
  <si>
    <t>SHY-0402</t>
  </si>
  <si>
    <t>https://www.openstreetmap.org/node/10067074141</t>
  </si>
  <si>
    <t>SHY-0403</t>
  </si>
  <si>
    <t>улица Жангельдина, 26/4</t>
  </si>
  <si>
    <t>http://magnum.kz | https://instagram.com/magnum.kz | https://www.magnum.kz/ | https://2gis.kz/shymkent/firm/70000001057817941 | https://2gis.kz/shymkent/branches/70000001044898537 | http://tiktok.com/@magnum.kz | https://youtube.com/@MagnumCashCarrykz | https://wa.me/77763007766</t>
  </si>
  <si>
    <t>https://2gis.kz/shymkent/firm/70000001057817941</t>
  </si>
  <si>
    <t>https://www.openstreetmap.org/node/1458044027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</t>
  </si>
  <si>
    <t>SHY-0404</t>
  </si>
  <si>
    <t>проспект Республики, 40/1</t>
  </si>
  <si>
    <t>http://magnum.kz | https://instagram.com/magnum.kz | https://www.magnum.kz/ | https://2gis.kz/shymkent/firm/70000001061425516 | https://2gis.kz/shymkent/branches/70000001044898537 | http://tiktok.com/@magnum.kz | https://youtube.com/@MagnumCashCarrykz | https://wa.me/77763007766</t>
  </si>
  <si>
    <t>https://2gis.kz/shymkent/firm/70000001061425516</t>
  </si>
  <si>
    <t>https://www.openstreetmap.org/way/115437416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</t>
  </si>
  <si>
    <t>SHY-0405</t>
  </si>
  <si>
    <t>проспект Тауке хана, 61/1</t>
  </si>
  <si>
    <t>http://magnum.kz | https://instagram.com/magnum.kz | https://www.magnum.kz/ | https://2gis.kz/shymkent/firm/70000001040129819 | https://2gis.kz/shymkent/branches/70000001044898537 | http://tiktok.com/@magnum.kz | https://youtube.com/@MagnumCashCarrykz | https://wa.me/77763007766</t>
  </si>
  <si>
    <t>https://2gis.kz/shymkent/firm/70000001040129819</t>
  </si>
  <si>
    <t>https://www.openstreetmap.org/node/10066998490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</t>
  </si>
  <si>
    <t>SHY-0406</t>
  </si>
  <si>
    <t>проспект Тауке хана, 13</t>
  </si>
  <si>
    <t>http://magnum.kz | https://instagram.com/magnum.kz | https://www.magnum.kz/ | https://2gis.kz/shymkent/firm/70000001065559885 | https://2gis.kz/shymkent/branches/70000001044898537 | http://tiktok.com/@magnum.kz | https://youtube.com/@MagnumCashCarrykz | https://wa.me/77763007766</t>
  </si>
  <si>
    <t>https://2gis.kz/shymkent/firm/70000001065559885</t>
  </si>
  <si>
    <t>https://www.openstreetmap.org/node/4530124558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</t>
  </si>
  <si>
    <t>SHY-0407</t>
  </si>
  <si>
    <t>улица Гагарина, 147/5</t>
  </si>
  <si>
    <t>http://magnum.kz | https://instagram.com/magnum.kz | https://www.magnum.kz/ | https://2gis.kz/shymkent/firm/70000001064541683 | https://2gis.kz/shymkent/branches/70000001044898537 | http://tiktok.com/@magnum.kz | https://youtube.com/@MagnumCashCarrykz | https://wa.me/77763007766</t>
  </si>
  <si>
    <t>https://2gis.kz/shymkent/firm/70000001064541683</t>
  </si>
  <si>
    <t>https://www.openstreetmap.org/node/4708465789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</t>
  </si>
  <si>
    <t>SHY-0408</t>
  </si>
  <si>
    <t>улица Уалиханова, 217</t>
  </si>
  <si>
    <t>http://magnum.kz | https://instagram.com/magnum.kz | https://www.magnum.kz/ | https://2gis.kz/shymkent/firm/70000001065549295 | https://2gis.kz/shymkent/branches/70000001044898537 | http://tiktok.com/@magnum.kz | https://youtube.com/@MagnumCashCarrykz | https://wa.me/77763007766</t>
  </si>
  <si>
    <t>https://2gis.kz/shymkent/firm/70000001065549295</t>
  </si>
  <si>
    <t>https://www.openstreetmap.org/way/109683638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</t>
  </si>
  <si>
    <t>SHY-0409</t>
  </si>
  <si>
    <t>улица Торекулова, 13а/2</t>
  </si>
  <si>
    <t>http://magnum.kz | https://instagram.com/magnum.kz | https://www.magnum.kz/ | https://2gis.kz/shymkent/firm/70000001064338774 | https://2gis.kz/shymkent/branches/70000001044898537 | http://tiktok.com/@magnum.kz | https://youtube.com/@MagnumCashCarrykz | https://wa.me/77763007766</t>
  </si>
  <si>
    <t>https://2gis.kz/shymkent/firm/70000001064338774</t>
  </si>
  <si>
    <t>https://www.openstreetmap.org/way/114216337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</t>
  </si>
  <si>
    <t>SHY-0410</t>
  </si>
  <si>
    <t>улица Адырбекова, 120</t>
  </si>
  <si>
    <t>http://magnum.kz | https://instagram.com/magnum.kz | https://www.magnum.kz/ | https://2gis.kz/shymkent/firm/70000001067086809 | https://2gis.kz/shymkent/branches/70000001044898537 | http://tiktok.com/@magnum.kz | https://youtube.com/@MagnumCashCarrykz | https://wa.me/77763007766</t>
  </si>
  <si>
    <t>https://2gis.kz/shymkent/firm/70000001067086809</t>
  </si>
  <si>
    <t>https://www.openstreetmap.org/way/369789433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</t>
  </si>
  <si>
    <t>SHY-0411</t>
  </si>
  <si>
    <t>Сайрамская улица, 235/1</t>
  </si>
  <si>
    <t>http://magnum.kz | https://instagram.com/magnum.kz | https://www.magnum.kz/ | https://2gis.kz/shymkent/firm/70000001036865318 | https://2gis.kz/shymkent/branches/70000001044898537 | http://tiktok.com/@magnum.kz | https://youtube.com/@MagnumCashCarrykz | https://wa.me/77763007766</t>
  </si>
  <si>
    <t>https://2gis.kz/shymkent/firm/70000001036865318</t>
  </si>
  <si>
    <t>https://www.openstreetmap.org/node/10066998506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</t>
  </si>
  <si>
    <t>SHY-0412</t>
  </si>
  <si>
    <t>https://www.openstreetmap.org/node/10067104347</t>
  </si>
  <si>
    <t>SHY-0413</t>
  </si>
  <si>
    <t>улица Байтурсынова, 81</t>
  </si>
  <si>
    <t>http://magnum.kz | https://instagram.com/magnum.kz | https://www.magnum.kz/ | https://2gis.kz/shymkent/firm/70000001040085186 | https://2gis.kz/shymkent/branches/70000001044898537 | http://tiktok.com/@magnum.kz | https://youtube.com/@MagnumCashCarrykz | https://wa.me/77763007766</t>
  </si>
  <si>
    <t>https://2gis.kz/shymkent/firm/70000001040085186</t>
  </si>
  <si>
    <t>https://www.openstreetmap.org/node/10799233920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</t>
  </si>
  <si>
    <t>SHY-0414</t>
  </si>
  <si>
    <t>улица Шаяхметова, 5а</t>
  </si>
  <si>
    <t>http://magnum.kz | https://instagram.com/magnum.kz | https://www.magnum.kz/ | https://2gis.kz/shymkent/firm/70000001025991413 | https://2gis.kz/shymkent/branches/70000001044898537 | http://tiktok.com/@magnum.kz | https://youtube.com/@MagnumCashCarrykz | https://wa.me/77763007766</t>
  </si>
  <si>
    <t>https://2gis.kz/shymkent/firm/70000001025991413</t>
  </si>
  <si>
    <t>https://www.openstreetmap.org/node/4986581821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</t>
  </si>
  <si>
    <t>SHY-0415</t>
  </si>
  <si>
    <t>Улица Байтерекова, 43, Шымкент, Шымкент городская администрация</t>
  </si>
  <si>
    <t>http://magnum.kz | https://instagram.com/magnum.kz | https://www.magnum.kz/ | https://2gis.kz/shymkent/firm/70000001060744526 | https://2gis.kz/shymkent/branches/70000001044898537 | http://tiktok.com/@magnum.kz | https://youtube.com/@MagnumCashCarrykz | https://wa.me/77763007766</t>
  </si>
  <si>
    <t>https://www.openstreetmap.org/node/10067095741</t>
  </si>
  <si>
    <t>https://2gis.kz/shymkent/firm/70000001060744526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2</t>
  </si>
  <si>
    <t>SHY-0416</t>
  </si>
  <si>
    <t>ТРЦ Hyper house, улица Дулати, 202, Шымкент, Шымкент городская администрация</t>
  </si>
  <si>
    <t>http://magnum.kz | https://instagram.com/magnum.kz | https://www.magnum.kz/ | https://2gis.kz/shymkent/firm/70000001065453535 | https://2gis.kz/shymkent/branches/70000001044898537 | http://tiktok.com/@magnum.kz | https://youtube.com/@MagnumCashCarrykz | https://wa.me/77763007766</t>
  </si>
  <si>
    <t>https://www.openstreetmap.org/node/10067032536</t>
  </si>
  <si>
    <t>https://2gis.kz/shymkent/firm/70000001065453535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2</t>
  </si>
  <si>
    <t>SHY-0417</t>
  </si>
  <si>
    <t>https://www.openstreetmap.org/node/4465989092</t>
  </si>
  <si>
    <t>SHY-0418</t>
  </si>
  <si>
    <t>улица Жиделибайсын, 92</t>
  </si>
  <si>
    <t>http://magnum.kz | https://instagram.com/magnum.kz | https://www.magnum.kz/ | https://2gis.kz/shymkent/firm/70000001034880965 | https://2gis.kz/shymkent/branches/70000001044898537 | http://tiktok.com/@magnum.kz | https://youtube.com/@MagnumCashCarrykz | https://wa.me/77763007766</t>
  </si>
  <si>
    <t>https://2gis.kz/shymkent/firm/70000001034880965</t>
  </si>
  <si>
    <t>https://www.openstreetmap.org/node/10067011567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</t>
  </si>
  <si>
    <t>SHY-0419</t>
  </si>
  <si>
    <t>микрорайон Астана, 82</t>
  </si>
  <si>
    <t>http://magnum.kz | https://instagram.com/magnum.kz | https://www.magnum.kz/ | https://2gis.kz/shymkent/firm/70000001046271354 | https://2gis.kz/shymkent/branches/70000001044898537 | http://tiktok.com/@magnum.kz | https://youtube.com/@MagnumCashCarrykz | https://wa.me/77763007766</t>
  </si>
  <si>
    <t>https://2gis.kz/shymkent/firm/70000001046271354</t>
  </si>
  <si>
    <t>https://www.openstreetmap.org/node/10067081873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</t>
  </si>
  <si>
    <t>SHY-0420</t>
  </si>
  <si>
    <t>проспект Байдибек би, 25</t>
  </si>
  <si>
    <t>http://magnum.kz | https://instagram.com/magnum.kz | https://www.magnum.kz/ | https://2gis.kz/shymkent/firm/70000001061218934 | https://2gis.kz/shymkent/branches/70000001044898537 | http://tiktok.com/@magnum.kz | https://youtube.com/@MagnumCashCarrykz | https://wa.me/77763007766</t>
  </si>
  <si>
    <t>https://2gis.kz/shymkent/firm/70000001061218934</t>
  </si>
  <si>
    <t>https://www.openstreetmap.org/node/10067011373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</t>
  </si>
  <si>
    <t>SHY-0421</t>
  </si>
  <si>
    <t>улица Утегенова, 40/2</t>
  </si>
  <si>
    <t>http://magnum.kz | https://instagram.com/magnum.kz | https://www.magnum.kz/ | https://2gis.kz/shymkent/firm/70000001060620073 | https://2gis.kz/shymkent/branches/70000001044898537 | http://tiktok.com/@magnum.kz | https://youtube.com/@MagnumCashCarrykz | https://wa.me/77763007766</t>
  </si>
  <si>
    <t>https://2gis.kz/shymkent/firm/70000001060620073</t>
  </si>
  <si>
    <t>https://www.openstreetmap.org/node/10067117153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</t>
  </si>
  <si>
    <t>SHY-0422</t>
  </si>
  <si>
    <t>микрорайон Нурсат, 121а</t>
  </si>
  <si>
    <t>http://magnum.kz | https://instagram.com/magnum.kz | https://www.magnum.kz/ | https://2gis.kz/shymkent/firm/70000001046779752 | https://2gis.kz/shymkent/branches/70000001044898537 | http://tiktok.com/@magnum.kz | https://youtube.com/@MagnumCashCarrykz | https://wa.me/77763007766</t>
  </si>
  <si>
    <t>https://2gis.kz/shymkent/firm/70000001046779752</t>
  </si>
  <si>
    <t>https://www.openstreetmap.org/node/10067074184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</t>
  </si>
  <si>
    <t>SHY-0423</t>
  </si>
  <si>
    <t>Magnum Super</t>
  </si>
  <si>
    <t>Тамерлановское шоссе, 22/5</t>
  </si>
  <si>
    <t>http://magnum.kz | https://instagram.com/magnum.kz | https://www.magnum.kz/ | https://2gis.kz/shymkent/firm/70000001065096109 | https://2gis.kz/shymkent/branches/70000001044898537 | http://tiktok.com/@magnum.kz | https://youtube.com/@MagnumCashCarrykz | https://wa.me/77763007766</t>
  </si>
  <si>
    <t>https://2gis.kz/shymkent/firm/70000001065096109</t>
  </si>
  <si>
    <t>https://www.openstreetmap.org/node/10799233906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</t>
  </si>
  <si>
    <t>SHY-0424</t>
  </si>
  <si>
    <t>проспект Нурсултана Назарбаева, 177Б</t>
  </si>
  <si>
    <t>http://magnum.kz | https://instagram.com/magnum.kz | https://www.magnum.kz/ | https://2gis.kz/shymkent/firm/70000001044898538 | https://2gis.kz/shymkent/branches/70000001044898537 | http://tiktok.com/@magnum.kz | https://youtube.com/@MagnumCashCarrykz | https://wa.me/77763007766</t>
  </si>
  <si>
    <t>https://2gis.kz/shymkent/firm/70000001044898538</t>
  </si>
  <si>
    <t>https://www.openstreetmap.org/node/10067094533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</t>
  </si>
  <si>
    <t>SHY-0425</t>
  </si>
  <si>
    <t>Mj</t>
  </si>
  <si>
    <t>улица Тулеметова, 50/6</t>
  </si>
  <si>
    <t>https://2gis.kz/shymkent/firm/70000001114961049</t>
  </si>
  <si>
    <t>SHY-0426</t>
  </si>
  <si>
    <t>Nuray</t>
  </si>
  <si>
    <t>улица Кенжарык, 157/2</t>
  </si>
  <si>
    <t>+77071320000</t>
  </si>
  <si>
    <t>https://2gis.kz/shymkent/firm/70000001060943544</t>
  </si>
  <si>
    <t>SHY-0427</t>
  </si>
  <si>
    <t>Sultan</t>
  </si>
  <si>
    <t>https://www.openstreetmap.org/node/3914654294</t>
  </si>
  <si>
    <t>SHY-0428</t>
  </si>
  <si>
    <t>Tan JU</t>
  </si>
  <si>
    <t>улица Аргынбекова, 57</t>
  </si>
  <si>
    <t>+77763150083</t>
  </si>
  <si>
    <t>https://instagram.com/tanju.argynbekova</t>
  </si>
  <si>
    <t>https://2gis.kz/shymkent/firm/70000001033257185</t>
  </si>
  <si>
    <t>SHY-0429</t>
  </si>
  <si>
    <t>Tiin Market</t>
  </si>
  <si>
    <t>улица Гагарина, 87</t>
  </si>
  <si>
    <t>+77086956751, +77473343103</t>
  </si>
  <si>
    <t>https://instagram.com/tiin_market_kz</t>
  </si>
  <si>
    <t>https://2gis.kz/shymkent/firm/70000001063193688</t>
  </si>
  <si>
    <t>SHY-0430</t>
  </si>
  <si>
    <t>TRinGO</t>
  </si>
  <si>
    <t>Улица Желтоксан, 268, Шымкент, Шымкент городская администрация</t>
  </si>
  <si>
    <t>+77750953490</t>
  </si>
  <si>
    <t>https://instagram.com/tringo.kz</t>
  </si>
  <si>
    <t>https://www.openstreetmap.org/node/9276589438</t>
  </si>
  <si>
    <t>https://2gis.kz/shymkent/firm/70000001026009740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</t>
  </si>
  <si>
    <t>SHY-0431</t>
  </si>
  <si>
    <t>Turan</t>
  </si>
  <si>
    <t>улица Алдиярова, 38/3</t>
  </si>
  <si>
    <t>https://instagram.com/turan_shymkent_ | https://2gis.kz/shymkent/firm/70000001063544169 | https://2gis.kz/shymkent/branches/70000001067121330 | https://wa.me/77759733675</t>
  </si>
  <si>
    <t>https://2gis.kz/shymkent/firm/70000001063544169</t>
  </si>
  <si>
    <t>SHY-0432</t>
  </si>
  <si>
    <t>Тамерлан улица, 2</t>
  </si>
  <si>
    <t>https://instagram.com/turan_shymkent_ | https://2gis.kz/shymkent/firm/70000001109927748 | https://2gis.kz/shymkent/branches/70000001067121330 | https://wa.me/77759733675</t>
  </si>
  <si>
    <t>https://2gis.kz/shymkent/firm/70000001109927748</t>
  </si>
  <si>
    <t>SHY-0433</t>
  </si>
  <si>
    <t>улица Иляева, 86</t>
  </si>
  <si>
    <t>https://instagram.com/turan_shymkent_ | https://2gis.kz/shymkent/firm/70000001080252396 | https://2gis.kz/shymkent/branches/70000001067121330 | https://wa.me/77759733675 | http://www.tiktok.com/@turan_shymkent</t>
  </si>
  <si>
    <t>https://2gis.kz/shymkent/firm/70000001080252396</t>
  </si>
  <si>
    <t>SHY-0434</t>
  </si>
  <si>
    <t>Тамерлановское шоссе, 18в</t>
  </si>
  <si>
    <t>https://instagram.com/turan_shymkent_ | https://2gis.kz/shymkent/firm/70000001067121331 | https://2gis.kz/shymkent/branches/70000001067121330 | https://wa.me/77759733675</t>
  </si>
  <si>
    <t>https://2gis.kz/shymkent/firm/70000001067121331</t>
  </si>
  <si>
    <t>SHY-0435</t>
  </si>
  <si>
    <t>METRO Cash &amp; Carry</t>
  </si>
  <si>
    <t>микрорайон Нурсат 2, 7/1</t>
  </si>
  <si>
    <t>+77770090880, +77770091324</t>
  </si>
  <si>
    <t>http://www.metro-kz.com?utm_source=2gis&amp;utm_medium=link&amp;utm_campaign=auto_generated_cta | https://instagram.com/metro.com.kz | https://www.metro-kz.com/ | https://2gis.kz/shymkent/firm/70000001026524367 | http://www.metro-kz.com | https://facebook.com/metro.com.kz | https://youtube.com/channel/UCwRiaFWbKsAhpfEZFsvM7Qg</t>
  </si>
  <si>
    <t>https://2gis.kz/shymkent/firm/70000001026524367</t>
  </si>
  <si>
    <t>SHY-0436</t>
  </si>
  <si>
    <t>https://www.openstreetmap.org/node/1783506173</t>
  </si>
  <si>
    <t>SHY-0437</t>
  </si>
  <si>
    <t>Базар продуктов овощей и специи</t>
  </si>
  <si>
    <t>https://www.openstreetmap.org/node/13300121261</t>
  </si>
  <si>
    <t>SHY-0438</t>
  </si>
  <si>
    <t>https://www.openstreetmap.org/node/4529884638</t>
  </si>
  <si>
    <t>SHY-0439</t>
  </si>
  <si>
    <t>Агро Барыс</t>
  </si>
  <si>
    <t>улица Жиделибайсын, 1/2</t>
  </si>
  <si>
    <t>https://2gis.kz/shymkent/firm/70000001116466955</t>
  </si>
  <si>
    <t>SHY-0440</t>
  </si>
  <si>
    <t>Айна</t>
  </si>
  <si>
    <t>улица Жибек жолы, 403/5</t>
  </si>
  <si>
    <t>+77023842767</t>
  </si>
  <si>
    <t>https://2gis.kz/shymkent/firm/70000001047402653</t>
  </si>
  <si>
    <t>https://www.openstreetmap.org/way/111193322 | https://www.gov.kz/memleket/entities/mti/press/news/details/1054740?lang=ru | https://www.gov.kz/memleket/entities/shymkent-kasipkerlik/press/news/details/464750?lang=ru</t>
  </si>
  <si>
    <t>2GIS, OpenStreetMap, Government of Kazakhstan</t>
  </si>
  <si>
    <t>SHY-0441</t>
  </si>
  <si>
    <t>Айна 2</t>
  </si>
  <si>
    <t>улица Жолдасбекова, 73/7</t>
  </si>
  <si>
    <t>+77026808420</t>
  </si>
  <si>
    <t>https://2gis.kz/shymkent/firm/70000001065636935</t>
  </si>
  <si>
    <t>SHY-0442</t>
  </si>
  <si>
    <t>Акбар</t>
  </si>
  <si>
    <t>улица Толе би, 20а</t>
  </si>
  <si>
    <t>https://2gis.kz/shymkent/firm/70000001026168022</t>
  </si>
  <si>
    <t>https://www.gov.kz/memleket/entities/mti/press/news/details/1054740?lang=ru | https://www.gov.kz/memleket/entities/shymkent-kasipkerlik/press/news/details/464750?lang=ru</t>
  </si>
  <si>
    <t>2GIS, Government of Kazakhstan</t>
  </si>
  <si>
    <t>SHY-0443</t>
  </si>
  <si>
    <t>Акниет</t>
  </si>
  <si>
    <t>Возможная сеть: Акниет</t>
  </si>
  <si>
    <t>Алматинская трасса, 65/8</t>
  </si>
  <si>
    <t>+77074654741</t>
  </si>
  <si>
    <t>https://2gis.kz/shymkent/firm/70000001062730082</t>
  </si>
  <si>
    <t>SHY-0444</t>
  </si>
  <si>
    <t>Возможная сеть: Алатау</t>
  </si>
  <si>
    <t>улица Уалиханова, 188/5</t>
  </si>
  <si>
    <t>+77015244488</t>
  </si>
  <si>
    <t>https://2gis.kz/shymkent/firm/70000001026517250</t>
  </si>
  <si>
    <t>SHY-0445</t>
  </si>
  <si>
    <t>Алаш</t>
  </si>
  <si>
    <t>Тамерлановское шоссе, 198/14</t>
  </si>
  <si>
    <t>https://2gis.kz/shymkent/firm/70000001026562725</t>
  </si>
  <si>
    <t>https://www.openstreetmap.org/node/10570151660 | https://www.openstreetmap.org/relation/1608208 | https://www.gov.kz/memleket/entities/mti/press/news/details/1054740?lang=ru | https://www.gov.kz/memleket/entities/shymkent-kasipkerlik/press/news/details/464750?lang=ru</t>
  </si>
  <si>
    <t>SHY-0446</t>
  </si>
  <si>
    <t>https://www.openstreetmap.org/node/6183802024</t>
  </si>
  <si>
    <t>SHY-0447</t>
  </si>
  <si>
    <t>Асхат</t>
  </si>
  <si>
    <t>улица Сельская, 4</t>
  </si>
  <si>
    <t>https://2gis.kz/shymkent/firm/70000001083293859</t>
  </si>
  <si>
    <t>SHY-0448</t>
  </si>
  <si>
    <t>Аят</t>
  </si>
  <si>
    <t>https://www.openstreetmap.org/node/1506336121</t>
  </si>
  <si>
    <t>SHY-0449</t>
  </si>
  <si>
    <t>Барыс</t>
  </si>
  <si>
    <t>Тамерлановское шоссе, 236/17</t>
  </si>
  <si>
    <t>+77071181825</t>
  </si>
  <si>
    <t>https://2gis.kz/shymkent/firm/70000001030070155</t>
  </si>
  <si>
    <t>https://www.openstreetmap.org/node/10576407776 | https://www.gov.kz/memleket/entities/mti/press/news/details/1054740?lang=ru | https://www.gov.kz/memleket/entities/shymkent-kasipkerlik/press/news/details/464750?lang=ru</t>
  </si>
  <si>
    <t>SHY-0450</t>
  </si>
  <si>
    <t>Бекжан</t>
  </si>
  <si>
    <t>Возможная сеть: Бекжан</t>
  </si>
  <si>
    <t>+77717800180</t>
  </si>
  <si>
    <t>https://2gis.kz/shymkent/firm/70000001026549953</t>
  </si>
  <si>
    <t>https://www.gov.kz/memleket/entities/shymkent-kasipkerlik/press/news/details/464750?lang=ru | https://www.gov.kz/memleket/entities/mti/press/news/details/1054740?lang=ru</t>
  </si>
  <si>
    <t>SHY-0451</t>
  </si>
  <si>
    <t>Береке Рынок</t>
  </si>
  <si>
    <t>https://www.openstreetmap.org/way/1030595011</t>
  </si>
  <si>
    <t>SHY-0452</t>
  </si>
  <si>
    <t>Верхний рынок</t>
  </si>
  <si>
    <t>https://www.openstreetmap.org/node/1777253415</t>
  </si>
  <si>
    <t>OpenStreetMap, Government of Kazakhstan</t>
  </si>
  <si>
    <t>SHY-0453</t>
  </si>
  <si>
    <t>Возможная сеть: Дархан</t>
  </si>
  <si>
    <t>улица Рашидова, 14а/2</t>
  </si>
  <si>
    <t>+77252502101</t>
  </si>
  <si>
    <t>https://2gis.kz/shymkent/firm/70000001026632882</t>
  </si>
  <si>
    <t>https://www.openstreetmap.org/way/466406388 | https://www.openstreetmap.org/way/466406390 | https://www.gov.kz/memleket/entities/mti/press/news/details/1054740?lang=ru | https://www.gov.kz/memleket/entities/shymkent-kasipkerlik/press/news/details/464750?lang=ru</t>
  </si>
  <si>
    <t>SHY-0454</t>
  </si>
  <si>
    <t>Жаңа шахар</t>
  </si>
  <si>
    <t>Тамерлановское шоссе, 19/23</t>
  </si>
  <si>
    <t>+77756852641</t>
  </si>
  <si>
    <t>https://2gis.kz/shymkent/firm/70000001026084034</t>
  </si>
  <si>
    <t>SHY-0455</t>
  </si>
  <si>
    <t>Жібек жолы</t>
  </si>
  <si>
    <t>Алматинская трасса, 38</t>
  </si>
  <si>
    <t>https://2gis.kz/shymkent/firm/70000001028521177</t>
  </si>
  <si>
    <t>https://www.openstreetmap.org/way/1013993159 | https://www.gov.kz/memleket/entities/mti/press/news/details/1054740?lang=ru | https://www.gov.kz/memleket/entities/shymkent-kasipkerlik/press/news/details/464750?lang=ru</t>
  </si>
  <si>
    <t>SHY-0456</t>
  </si>
  <si>
    <t>Коктем</t>
  </si>
  <si>
    <t>16 микрорайон</t>
  </si>
  <si>
    <t>https://2gis.kz/shymkent/geo/70030076129874126</t>
  </si>
  <si>
    <t>https://www.gov.kz/memleket/entities/shymkent-kasipkerlik/press/news/details/464750?lang=ru | https://www.openstreetmap.org/way/111348872 | https://www.gov.kz/memleket/entities/mti/press/news/details/1054740?lang=ru</t>
  </si>
  <si>
    <t>2GIS, Government of Kazakhstan, OpenStreetMap</t>
  </si>
  <si>
    <t>SHY-0457</t>
  </si>
  <si>
    <t>Комеш булак</t>
  </si>
  <si>
    <t>https://2gis.kz/shymkent/geo/22659422863856101</t>
  </si>
  <si>
    <t>SHY-0458</t>
  </si>
  <si>
    <t>Крытый</t>
  </si>
  <si>
    <t>улица Гагарина, 56/3</t>
  </si>
  <si>
    <t>+77252562978, +77026416089</t>
  </si>
  <si>
    <t>https://2gis.kz/shymkent/firm/70000001025895720</t>
  </si>
  <si>
    <t>https://www.openstreetmap.org/way/1410919615 | https://www.gov.kz/memleket/entities/mti/press/news/details/1054740?lang=ru | https://www.gov.kz/memleket/entities/shymkent-kasipkerlik/press/news/details/464750?lang=ru</t>
  </si>
  <si>
    <t>SHY-0459</t>
  </si>
  <si>
    <t>Назым апа</t>
  </si>
  <si>
    <t>Жумабека Ташенова улица, 3/3</t>
  </si>
  <si>
    <t>https://2gis.kz/shymkent/geo/70030077137123951</t>
  </si>
  <si>
    <t>SHY-0460</t>
  </si>
  <si>
    <t>Нур Сайрам</t>
  </si>
  <si>
    <t>Амира Темира улица, 237/19</t>
  </si>
  <si>
    <t>https://2gis.kz/shymkent/firm/70000001026737454</t>
  </si>
  <si>
    <t>https://www.openstreetmap.org/node/4215598258 | https://www.gov.kz/memleket/entities/mti/press/news/details/1054740?lang=ru | https://www.gov.kz/memleket/entities/shymkent-kasipkerlik/press/news/details/464750?lang=ru</t>
  </si>
  <si>
    <t>SHY-0461</t>
  </si>
  <si>
    <t>Нурлы жол</t>
  </si>
  <si>
    <t>https://www.openstreetmap.org/way/372002925</t>
  </si>
  <si>
    <t>SHY-0462</t>
  </si>
  <si>
    <t>Пионер Food City</t>
  </si>
  <si>
    <t>Тамерлановское шоссе, 236/67</t>
  </si>
  <si>
    <t>+77753686808</t>
  </si>
  <si>
    <t>https://2gis.kz/shymkent/firm/70000001065282463</t>
  </si>
  <si>
    <t>SHY-0463</t>
  </si>
  <si>
    <t>Рынок Бирлик</t>
  </si>
  <si>
    <t>https://www.openstreetmap.org/way/1030309955</t>
  </si>
  <si>
    <t>SHY-0464</t>
  </si>
  <si>
    <t>Самал</t>
  </si>
  <si>
    <t>улица Рыскулова, 359/6</t>
  </si>
  <si>
    <t>https://2gis.kz/shymkent/firm/70000001026068407</t>
  </si>
  <si>
    <t>https://www.openstreetmap.org/node/1323754847 | https://www.gov.kz/memleket/entities/mti/press/news/details/1054740?lang=ru | https://www.gov.kz/memleket/entities/shymkent-kasipkerlik/press/news/details/464750?lang=ru</t>
  </si>
  <si>
    <t>SHY-0465</t>
  </si>
  <si>
    <t>Food City</t>
  </si>
  <si>
    <t>Алматинская трасса, 1/5</t>
  </si>
  <si>
    <t>+77027109177</t>
  </si>
  <si>
    <t>https://2gis.kz/shymkent/firm/70000001115137202</t>
  </si>
  <si>
    <t>SHY-0466</t>
  </si>
  <si>
    <t>Qyrgy Bazar</t>
  </si>
  <si>
    <t>Жумабека Ташенова улица, 3/2</t>
  </si>
  <si>
    <t>+77717991010</t>
  </si>
  <si>
    <t>https://2gis.kz/shymkent/firm/70000001027891281</t>
  </si>
  <si>
    <t>https://www.openstreetmap.org/node/14004582801 | https://www.gov.kz/memleket/entities/mti/press/news/details/1054740?lang=ru | https://www.gov.kz/memleket/entities/shymkent-kasipkerlik/press/news/details/464750?lang=ru</t>
  </si>
  <si>
    <t>SHY-0467</t>
  </si>
  <si>
    <t>Saiman базар</t>
  </si>
  <si>
    <t>Алматинская трасса, 21/23</t>
  </si>
  <si>
    <t>+77759009998</t>
  </si>
  <si>
    <t>https://2gis.kz/shymkent/firm/70000001064338364</t>
  </si>
  <si>
    <t>SHY-0468</t>
  </si>
  <si>
    <t>АЗС "АДАЛ"</t>
  </si>
  <si>
    <t>ТАМЕРЛАНОВСКОЕ ШОССЕ</t>
  </si>
  <si>
    <t>https://www.openstreetmap.org/node/3700834678</t>
  </si>
  <si>
    <t>SHY-0469</t>
  </si>
  <si>
    <t>АЗС Майсс</t>
  </si>
  <si>
    <t>https://www.openstreetmap.org/node/1506336131</t>
  </si>
  <si>
    <t>SHY-0470</t>
  </si>
  <si>
    <t>АЗС, мойка</t>
  </si>
  <si>
    <t>https://www.openstreetmap.org/node/4518976690</t>
  </si>
  <si>
    <t>SHY-0471</t>
  </si>
  <si>
    <t>Ай</t>
  </si>
  <si>
    <t>https://www.openstreetmap.org/node/3728568791</t>
  </si>
  <si>
    <t>SHY-0472</t>
  </si>
  <si>
    <t>Алмаз</t>
  </si>
  <si>
    <t>https://www.openstreetmap.org/node/1506804213</t>
  </si>
  <si>
    <t>https://www.openstreetmap.org/way/466418996</t>
  </si>
  <si>
    <t>SHY-0473</t>
  </si>
  <si>
    <t>https://www.openstreetmap.org/node/1446285139</t>
  </si>
  <si>
    <t>SHY-0474</t>
  </si>
  <si>
    <t>https://www.openstreetmap.org/node/1652428842</t>
  </si>
  <si>
    <t>SHY-0475</t>
  </si>
  <si>
    <t>Аdal</t>
  </si>
  <si>
    <t>улица Шардара, 4/9</t>
  </si>
  <si>
    <t>+77710197007, +77710197002</t>
  </si>
  <si>
    <t>https://2gis.kz/shymkent/firm/70000001030262245</t>
  </si>
  <si>
    <t>https://www.openstreetmap.org/node/4066184748 | https://www.openstreetmap.org/way/466455155</t>
  </si>
  <si>
    <t>SHY-0476</t>
  </si>
  <si>
    <t>Алматинская трасса, 16/5</t>
  </si>
  <si>
    <t>https://2gis.kz/shymkent/firm/70000001027708359</t>
  </si>
  <si>
    <t>https://www.openstreetmap.org/way/706144324</t>
  </si>
  <si>
    <t>SHY-0477</t>
  </si>
  <si>
    <t>Тамерлановское шоссе, 2/2</t>
  </si>
  <si>
    <t>+77710197007, +77710197006, +7 800 0700197</t>
  </si>
  <si>
    <t>https://2gis.kz/shymkent/firm/70000001027392464</t>
  </si>
  <si>
    <t>https://www.openstreetmap.org/node/10961125907</t>
  </si>
  <si>
    <t>SHY-0478</t>
  </si>
  <si>
    <t>Бейбарс</t>
  </si>
  <si>
    <t>https://www.openstreetmap.org/node/1507566715</t>
  </si>
  <si>
    <t>SHY-0479</t>
  </si>
  <si>
    <t>Бек</t>
  </si>
  <si>
    <t>Тамерлановское шоссе, 236/6</t>
  </si>
  <si>
    <t>https://2gis.kz/shymkent/firm/70000001027012030</t>
  </si>
  <si>
    <t>https://www.openstreetmap.org/node/3702462660</t>
  </si>
  <si>
    <t>SHY-0480</t>
  </si>
  <si>
    <t>Газпромнефть АЗС</t>
  </si>
  <si>
    <t>Газпромнефть</t>
  </si>
  <si>
    <t>+7 800 0801008</t>
  </si>
  <si>
    <t>https://www.openstreetmap.org/node/9433745042</t>
  </si>
  <si>
    <t>SHY-0481</t>
  </si>
  <si>
    <t>https://www.openstreetmap.org/node/9433745041</t>
  </si>
  <si>
    <t>SHY-0482</t>
  </si>
  <si>
    <t>улица Жангельдина, 35/3</t>
  </si>
  <si>
    <t>88000801008, +7 800 0801008</t>
  </si>
  <si>
    <t>https://2gis.kz/shymkent/firm/70000001026542746</t>
  </si>
  <si>
    <t>https://www.openstreetmap.org/way/466406394</t>
  </si>
  <si>
    <t>SHY-0483</t>
  </si>
  <si>
    <t>https://www.openstreetmap.org/node/9433745038</t>
  </si>
  <si>
    <t>SHY-0484</t>
  </si>
  <si>
    <t>Алматинская трасса, 117/1</t>
  </si>
  <si>
    <t>88000801008</t>
  </si>
  <si>
    <t>https://2gis.kz/shymkent/firm/70000001050774170</t>
  </si>
  <si>
    <t>SHY-0485</t>
  </si>
  <si>
    <t>Тамерлановское шоссе, 34/3</t>
  </si>
  <si>
    <t>https://2gis.kz/shymkent/firm/70000001025975995</t>
  </si>
  <si>
    <t>https://www.openstreetmap.org/node/1606751775</t>
  </si>
  <si>
    <t>SHY-0486</t>
  </si>
  <si>
    <t>улица Жибек жолы, 3/2</t>
  </si>
  <si>
    <t>https://2gis.kz/shymkent/firm/70000001025886869</t>
  </si>
  <si>
    <t>https://www.openstreetmap.org/node/2239522071 | https://www.openstreetmap.org/way/166826176</t>
  </si>
  <si>
    <t>SHY-0487</t>
  </si>
  <si>
    <t>улица Рыскулова, 1/8</t>
  </si>
  <si>
    <t>https://2gis.kz/shymkent/firm/70000001113062119</t>
  </si>
  <si>
    <t>https://www.openstreetmap.org/way/134873829</t>
  </si>
  <si>
    <t>SHY-0488</t>
  </si>
  <si>
    <t>https://www.openstreetmap.org/node/3027247380</t>
  </si>
  <si>
    <t>SHY-0489</t>
  </si>
  <si>
    <t>Алматинская трасса, 1927</t>
  </si>
  <si>
    <t>https://2gis.kz/shymkent/firm/70000001088728217</t>
  </si>
  <si>
    <t>https://www.openstreetmap.org/way/556044853</t>
  </si>
  <si>
    <t>SHY-0490</t>
  </si>
  <si>
    <t>https://www.openstreetmap.org/node/6690793485</t>
  </si>
  <si>
    <t>https://www.openstreetmap.org/way/1029478598</t>
  </si>
  <si>
    <t>SHY-0491</t>
  </si>
  <si>
    <t>ГазРосНефть</t>
  </si>
  <si>
    <t>https://www.openstreetmap.org/node/1506804225</t>
  </si>
  <si>
    <t>SHY-0492</t>
  </si>
  <si>
    <t>Дельта ойл</t>
  </si>
  <si>
    <t>Ташкент-Шымкент-Тараз-Алматы-Хоргос</t>
  </si>
  <si>
    <t>https://www.openstreetmap.org/node/4464531394</t>
  </si>
  <si>
    <t>SHY-0493</t>
  </si>
  <si>
    <t>заправка Grand Oil</t>
  </si>
  <si>
    <t>Улица Жибек жолы, 12/4</t>
  </si>
  <si>
    <t>https://www.openstreetmap.org/way/340075140</t>
  </si>
  <si>
    <t>SHY-0494</t>
  </si>
  <si>
    <t>Илаш ата</t>
  </si>
  <si>
    <t>https://www.openstreetmap.org/node/1455157746</t>
  </si>
  <si>
    <t>SHY-0495</t>
  </si>
  <si>
    <t>Иман</t>
  </si>
  <si>
    <t>https://www.openstreetmap.org/node/1506804216</t>
  </si>
  <si>
    <t>https://www.openstreetmap.org/way/466422495</t>
  </si>
  <si>
    <t>SHY-0496</t>
  </si>
  <si>
    <t>Ислам oil</t>
  </si>
  <si>
    <t>https://www.openstreetmap.org/node/1446285010</t>
  </si>
  <si>
    <t>https://www.openstreetmap.org/way/662336840</t>
  </si>
  <si>
    <t>SHY-0497</t>
  </si>
  <si>
    <t>КазМунайГаз</t>
  </si>
  <si>
    <t>микрорайон Кызыл Жар, 6/4</t>
  </si>
  <si>
    <t>+7 (7252) 27-43-88</t>
  </si>
  <si>
    <t>https://www.openstreetmap.org/node/4066184709</t>
  </si>
  <si>
    <t>SHY-0498</t>
  </si>
  <si>
    <t>КазЭлитОйл Заправочные станции</t>
  </si>
  <si>
    <t>https://www.openstreetmap.org/way/1013996058</t>
  </si>
  <si>
    <t>SHY-0499</t>
  </si>
  <si>
    <t>МурАз</t>
  </si>
  <si>
    <t>автодорога А-2, 10/4а</t>
  </si>
  <si>
    <t>+77056874782</t>
  </si>
  <si>
    <t>https://2gis.kz/shymkent/firm/70000001080853305</t>
  </si>
  <si>
    <t>SHY-0500</t>
  </si>
  <si>
    <t>https://2gis.kz/shymkent/firm/70000001037820035</t>
  </si>
  <si>
    <t>https://www.openstreetmap.org/way/1410919609</t>
  </si>
  <si>
    <t>SHY-0501</t>
  </si>
  <si>
    <t>улица Жибек жолы, 7/15</t>
  </si>
  <si>
    <t>https://2gis.kz/shymkent/firm/70000001090745917</t>
  </si>
  <si>
    <t>SHY-0502</t>
  </si>
  <si>
    <t>улица Байтерекова, 10/3а</t>
  </si>
  <si>
    <t>https://2gis.kz/shymkent/firm/70000001080853316</t>
  </si>
  <si>
    <t>SHY-0503</t>
  </si>
  <si>
    <t>Нур асу</t>
  </si>
  <si>
    <t>https://www.openstreetmap.org/node/1652428846</t>
  </si>
  <si>
    <t>SHY-0504</t>
  </si>
  <si>
    <t>РОСАЗИЯНЕФТЬ</t>
  </si>
  <si>
    <t>автодорога А-2, 97а</t>
  </si>
  <si>
    <t>+77014617029</t>
  </si>
  <si>
    <t>https://2gis.kz/shymkent/firm/70000001044873577</t>
  </si>
  <si>
    <t>SHY-0505</t>
  </si>
  <si>
    <t>Сатты жол</t>
  </si>
  <si>
    <t>Тамерлановское шоссе</t>
  </si>
  <si>
    <t>https://www.openstreetmap.org/node/4464672191</t>
  </si>
  <si>
    <t>SHY-0506</t>
  </si>
  <si>
    <t>Сатты Жол</t>
  </si>
  <si>
    <t>https://www.openstreetmap.org/way/466679141</t>
  </si>
  <si>
    <t>SHY-0507</t>
  </si>
  <si>
    <t>Оңтүстік-Газ</t>
  </si>
  <si>
    <t>Сәтті жол</t>
  </si>
  <si>
    <t>улица Капал батыра, 54/8</t>
  </si>
  <si>
    <t>https://2gis.kz/shymkent/firm/70000001067181482</t>
  </si>
  <si>
    <t>https://2gis.kz/shymkent/firm/70000001106094978 | https://www.openstreetmap.org/node/1458043968</t>
  </si>
  <si>
    <t>SHY-0508</t>
  </si>
  <si>
    <t>Сигма</t>
  </si>
  <si>
    <t>улица Мадели Кожа, 35/3</t>
  </si>
  <si>
    <t>https://2gis.kz/shymkent/firm/70000001025794179</t>
  </si>
  <si>
    <t>https://2gis.kz/shymkent/firm/70000001086911573 | https://www.openstreetmap.org/way/114769147</t>
  </si>
  <si>
    <t>SHY-0509</t>
  </si>
  <si>
    <t>https://www.openstreetmap.org/node/3302013306</t>
  </si>
  <si>
    <t>SHY-0510</t>
  </si>
  <si>
    <t>ТОО "PetroRetail"</t>
  </si>
  <si>
    <t>улица Аскарова, 49/2</t>
  </si>
  <si>
    <t>https://www.openstreetmap.org/way/166874768</t>
  </si>
  <si>
    <t>SHY-0511</t>
  </si>
  <si>
    <t>Тулпар</t>
  </si>
  <si>
    <t>https://www.openstreetmap.org/node/1519534806</t>
  </si>
  <si>
    <t>https://www.openstreetmap.org/way/466412062</t>
  </si>
  <si>
    <t>SHY-0512</t>
  </si>
  <si>
    <t>Улы-орда</t>
  </si>
  <si>
    <t>https://www.openstreetmap.org/node/1693054120</t>
  </si>
  <si>
    <t>https://www.openstreetmap.org/way/466419004</t>
  </si>
  <si>
    <t>SHY-0513</t>
  </si>
  <si>
    <t>https://www.openstreetmap.org/way/112176829</t>
  </si>
  <si>
    <t>SHY-0514</t>
  </si>
  <si>
    <t>Ұлы-Орда</t>
  </si>
  <si>
    <t>улица Капал батыра, 118/5</t>
  </si>
  <si>
    <t>+77087774314, +77080078233</t>
  </si>
  <si>
    <t>https://2gis.kz/shymkent/firm/70000001088196268</t>
  </si>
  <si>
    <t>https://www.openstreetmap.org/node/1446285266</t>
  </si>
  <si>
    <t>SHY-0515</t>
  </si>
  <si>
    <t>ШНОС</t>
  </si>
  <si>
    <t>https://www.openstreetmap.org/node/1479250424</t>
  </si>
  <si>
    <t>https://www.openstreetmap.org/way/466418999</t>
  </si>
  <si>
    <t>SHY-0516</t>
  </si>
  <si>
    <t>Эко-Нур</t>
  </si>
  <si>
    <t>улица Койкелди батыра, 19/3</t>
  </si>
  <si>
    <t>+77252772219</t>
  </si>
  <si>
    <t>https://2gis.kz/shymkent/firm/70000001101224943</t>
  </si>
  <si>
    <t>SHY-0517</t>
  </si>
  <si>
    <t>Экойл</t>
  </si>
  <si>
    <t>Акназар хана улица, 17</t>
  </si>
  <si>
    <t>+77252551251</t>
  </si>
  <si>
    <t>https://2gis.kz/shymkent/firm/70000001026070009</t>
  </si>
  <si>
    <t>SHY-0518</t>
  </si>
  <si>
    <t>ЮгОйл</t>
  </si>
  <si>
    <t>https://www.openstreetmap.org/node/3730239629</t>
  </si>
  <si>
    <t>SHY-0519</t>
  </si>
  <si>
    <t>https://www.openstreetmap.org/node/1506803982</t>
  </si>
  <si>
    <t>SHY-0520</t>
  </si>
  <si>
    <t>https://www.openstreetmap.org/node/1446285080</t>
  </si>
  <si>
    <t>SHY-0521</t>
  </si>
  <si>
    <t>https://www.openstreetmap.org/node/1446285186</t>
  </si>
  <si>
    <t>SHY-0522</t>
  </si>
  <si>
    <t>https://www.openstreetmap.org/node/1519534799</t>
  </si>
  <si>
    <t>https://www.openstreetmap.org/way/466419001</t>
  </si>
  <si>
    <t>SHY-0523</t>
  </si>
  <si>
    <t>https://www.openstreetmap.org/way/466418998</t>
  </si>
  <si>
    <t>SHY-0524</t>
  </si>
  <si>
    <t>https://www.openstreetmap.org/node/1519534800</t>
  </si>
  <si>
    <t>https://www.openstreetmap.org/way/466418997</t>
  </si>
  <si>
    <t>SHY-0525</t>
  </si>
  <si>
    <t>https://www.openstreetmap.org/node/13264469488</t>
  </si>
  <si>
    <t>SHY-0526</t>
  </si>
  <si>
    <t>https://www.openstreetmap.org/node/1455158083</t>
  </si>
  <si>
    <t>https://www.openstreetmap.org/way/466406410</t>
  </si>
  <si>
    <t>SHY-0527</t>
  </si>
  <si>
    <t>https://www.openstreetmap.org/way/661211423</t>
  </si>
  <si>
    <t>SHY-0528</t>
  </si>
  <si>
    <t>https://www.openstreetmap.org/node/1592168460</t>
  </si>
  <si>
    <t>SHY-0529</t>
  </si>
  <si>
    <t>https://www.openstreetmap.org/node/1455158155</t>
  </si>
  <si>
    <t>SHY-0530</t>
  </si>
  <si>
    <t>Улица Жибек жолы, 1/15</t>
  </si>
  <si>
    <t>https://www.openstreetmap.org/way/166826392</t>
  </si>
  <si>
    <t>SHY-0531</t>
  </si>
  <si>
    <t>улица Торекулова</t>
  </si>
  <si>
    <t>https://www.openstreetmap.org/way/114795703</t>
  </si>
  <si>
    <t>SHY-0532</t>
  </si>
  <si>
    <t>Алматинская трасса, 65/4</t>
  </si>
  <si>
    <t>https://www.openstreetmap.org/node/1288180966</t>
  </si>
  <si>
    <t>https://www.openstreetmap.org/way/466464999</t>
  </si>
  <si>
    <t>SHY-0533</t>
  </si>
  <si>
    <t>https://www.openstreetmap.org/way/113112672</t>
  </si>
  <si>
    <t>SHY-0534</t>
  </si>
  <si>
    <t>Улица Еримбетова, 28/4</t>
  </si>
  <si>
    <t>https://www.openstreetmap.org/way/113112684</t>
  </si>
  <si>
    <t>SHY-0535</t>
  </si>
  <si>
    <t>улица Турара Рыскулова, 142/4</t>
  </si>
  <si>
    <t>https://www.openstreetmap.org/way/123284686</t>
  </si>
  <si>
    <t>SHY-0536</t>
  </si>
  <si>
    <t>https://www.openstreetmap.org/way/1358358426</t>
  </si>
  <si>
    <t>SHY-0537</t>
  </si>
  <si>
    <t>https://www.openstreetmap.org/way/1357845596</t>
  </si>
  <si>
    <t>SHY-0538</t>
  </si>
  <si>
    <t>https://www.openstreetmap.org/node/1506284762</t>
  </si>
  <si>
    <t>SHY-0539</t>
  </si>
  <si>
    <t>Улица Куаныша Толеметова, 2/10</t>
  </si>
  <si>
    <t>https://www.openstreetmap.org/way/660755106</t>
  </si>
  <si>
    <t>SHY-0540</t>
  </si>
  <si>
    <t>Улица Сырым батыра, 11/4</t>
  </si>
  <si>
    <t>https://www.openstreetmap.org/way/660893542</t>
  </si>
  <si>
    <t>SHY-0541</t>
  </si>
  <si>
    <t>https://www.openstreetmap.org/node/9348802250</t>
  </si>
  <si>
    <t>SHY-0542</t>
  </si>
  <si>
    <t>https://www.openstreetmap.org/node/9348802249</t>
  </si>
  <si>
    <t>SHY-0543</t>
  </si>
  <si>
    <t>https://www.openstreetmap.org/node/9348802242</t>
  </si>
  <si>
    <t>SHY-0544</t>
  </si>
  <si>
    <t>https://www.openstreetmap.org/way/661238514</t>
  </si>
  <si>
    <t>SHY-0545</t>
  </si>
  <si>
    <t>https://www.openstreetmap.org/way/554943657</t>
  </si>
  <si>
    <t>SHY-0546</t>
  </si>
  <si>
    <t>https://www.openstreetmap.org/way/661234164</t>
  </si>
  <si>
    <t>SHY-0547</t>
  </si>
  <si>
    <t>https://www.openstreetmap.org/way/661245278</t>
  </si>
  <si>
    <t>SHY-0548</t>
  </si>
  <si>
    <t>https://www.openstreetmap.org/node/6505461398</t>
  </si>
  <si>
    <t>SHY-0549</t>
  </si>
  <si>
    <t>https://www.openstreetmap.org/way/1429195546</t>
  </si>
  <si>
    <t>https://www.openstreetmap.org/way/1429195547</t>
  </si>
  <si>
    <t>SHY-0550</t>
  </si>
  <si>
    <t>https://www.openstreetmap.org/node/5763230140</t>
  </si>
  <si>
    <t>https://www.openstreetmap.org/way/1429195541 | https://www.openstreetmap.org/way/1429195542</t>
  </si>
  <si>
    <t>SHY-0551</t>
  </si>
  <si>
    <t>BekNur gaz</t>
  </si>
  <si>
    <t>улица Габдуллина, 1/7</t>
  </si>
  <si>
    <t>+77018203042</t>
  </si>
  <si>
    <t>https://2gis.kz/shymkent/firm/70000001063727860</t>
  </si>
  <si>
    <t>SHY-0552</t>
  </si>
  <si>
    <t>BP-KZ</t>
  </si>
  <si>
    <t>https://www.openstreetmap.org/node/1446285300</t>
  </si>
  <si>
    <t>SHY-0553</t>
  </si>
  <si>
    <t>DELTA OIL</t>
  </si>
  <si>
    <t>Улица Мадели Кожа, 35/4</t>
  </si>
  <si>
    <t>https://www.openstreetmap.org/way/113660311</t>
  </si>
  <si>
    <t>SHY-0554</t>
  </si>
  <si>
    <t>Evro Oil</t>
  </si>
  <si>
    <t>https://www.openstreetmap.org/node/1455157438</t>
  </si>
  <si>
    <t>SHY-0555</t>
  </si>
  <si>
    <t>Helios</t>
  </si>
  <si>
    <t>автодорога А-2, 1/3</t>
  </si>
  <si>
    <t>+77777070075, +77252466108</t>
  </si>
  <si>
    <t>https://2gis.kz/shymkent/firm/70000001028289065</t>
  </si>
  <si>
    <t>https://www.openstreetmap.org/node/1506804164 | https://www.openstreetmap.org/way/466412061</t>
  </si>
  <si>
    <t>SHY-0556</t>
  </si>
  <si>
    <t>улица Капал батыра, 54/5</t>
  </si>
  <si>
    <t>+77777070075, +77252442807</t>
  </si>
  <si>
    <t>https://2gis.kz/shymkent/firm/70000001026670819</t>
  </si>
  <si>
    <t>https://www.openstreetmap.org/node/1643324150</t>
  </si>
  <si>
    <t>SHY-0557</t>
  </si>
  <si>
    <t>Гелиос</t>
  </si>
  <si>
    <t>https://www.openstreetmap.org/node/1458043935</t>
  </si>
  <si>
    <t>SHY-0558</t>
  </si>
  <si>
    <t>улица Толе би, 34</t>
  </si>
  <si>
    <t>+77777070075, +77252530257</t>
  </si>
  <si>
    <t>https://2gis.kz/shymkent/firm/70000001026161595</t>
  </si>
  <si>
    <t>SHY-0559</t>
  </si>
  <si>
    <t>https://www.openstreetmap.org/node/1446285314</t>
  </si>
  <si>
    <t>SHY-0560</t>
  </si>
  <si>
    <t>улица Исмаилова, 17/2</t>
  </si>
  <si>
    <t>+77777070075</t>
  </si>
  <si>
    <t>https://2gis.kz/shymkent/firm/70000001066595760</t>
  </si>
  <si>
    <t>SHY-0561</t>
  </si>
  <si>
    <t>улица Майлы Кожа, 127</t>
  </si>
  <si>
    <t>https://2gis.kz/shymkent/firm/70000001112744951</t>
  </si>
  <si>
    <t>SHY-0562</t>
  </si>
  <si>
    <t>улица Елшибек батыра, 92</t>
  </si>
  <si>
    <t>+77777070075, +77252570762</t>
  </si>
  <si>
    <t>https://2gis.kz/shymkent/firm/70000001026120602</t>
  </si>
  <si>
    <t>SHY-0563</t>
  </si>
  <si>
    <t>улица Жибек жолы, 403/2</t>
  </si>
  <si>
    <t>+77777070075, +77252536216</t>
  </si>
  <si>
    <t>https://2gis.kz/shymkent/firm/70000001026718249</t>
  </si>
  <si>
    <t>https://www.openstreetmap.org/way/111193304</t>
  </si>
  <si>
    <t>SHY-0564</t>
  </si>
  <si>
    <t>Сайрамская улица, 190/14</t>
  </si>
  <si>
    <t>https://2gis.kz/shymkent/firm/70000001026087078</t>
  </si>
  <si>
    <t>https://www.openstreetmap.org/node/1446285319</t>
  </si>
  <si>
    <t>SHY-0565</t>
  </si>
  <si>
    <t>Тамерлановское шоссе, 18а</t>
  </si>
  <si>
    <t>+77777070075, +77252449369</t>
  </si>
  <si>
    <t>https://2gis.kz/shymkent/firm/70000001025927657</t>
  </si>
  <si>
    <t>https://www.openstreetmap.org/node/1424950987</t>
  </si>
  <si>
    <t>SHY-0566</t>
  </si>
  <si>
    <t>улица Жандосова, 92/8</t>
  </si>
  <si>
    <t>https://2gis.kz/shymkent/firm/70000001025886759</t>
  </si>
  <si>
    <t>https://www.openstreetmap.org/node/3410321883</t>
  </si>
  <si>
    <t>SHY-0567</t>
  </si>
  <si>
    <t>улица Байтурсынова, 91</t>
  </si>
  <si>
    <t>https://2gis.kz/shymkent/firm/70000001026004375</t>
  </si>
  <si>
    <t>https://www.openstreetmap.org/way/1217743021</t>
  </si>
  <si>
    <t>SHY-0568</t>
  </si>
  <si>
    <t>Тамерлановское шоссе, 111/1</t>
  </si>
  <si>
    <t>+77777070075, +77252456474</t>
  </si>
  <si>
    <t>https://2gis.kz/shymkent/firm/70000001027396758</t>
  </si>
  <si>
    <t>https://www.openstreetmap.org/node/3724815954 | https://www.openstreetmap.org/way/368629217</t>
  </si>
  <si>
    <t>SHY-0569</t>
  </si>
  <si>
    <t>MurAz</t>
  </si>
  <si>
    <t>https://2gis.kz/shymkent/firm/70000001104002640</t>
  </si>
  <si>
    <t>SHY-0570</t>
  </si>
  <si>
    <t>Nur Petro</t>
  </si>
  <si>
    <t>https://www.openstreetmap.org/node/1519534665</t>
  </si>
  <si>
    <t>https://www.openstreetmap.org/way/370016530</t>
  </si>
  <si>
    <t>SHY-0571</t>
  </si>
  <si>
    <t>Qaz Petro</t>
  </si>
  <si>
    <t>улица Байтурсынова, 83/2 к2</t>
  </si>
  <si>
    <t>+77252538967, +77078088200, +77471110611</t>
  </si>
  <si>
    <t>https://2gis.kz/shymkent/firm/70000001040550957</t>
  </si>
  <si>
    <t>https://www.openstreetmap.org/way/1224175483</t>
  </si>
  <si>
    <t>SHY-0572</t>
  </si>
  <si>
    <t>Qazaq oil</t>
  </si>
  <si>
    <t>Алматинская трасса, 19</t>
  </si>
  <si>
    <t>88000800911, +7 800 0800911</t>
  </si>
  <si>
    <t>https://2gis.kz/shymkent/firm/70000001043256863</t>
  </si>
  <si>
    <t>https://www.openstreetmap.org/node/1288180950</t>
  </si>
  <si>
    <t>SHY-0573</t>
  </si>
  <si>
    <t>Qazaq Oil</t>
  </si>
  <si>
    <t>+7 800 0800911</t>
  </si>
  <si>
    <t>https://www.openstreetmap.org/node/1446285045</t>
  </si>
  <si>
    <t>SHY-0574</t>
  </si>
  <si>
    <t>улица Капал батыра, 54/4</t>
  </si>
  <si>
    <t>https://2gis.kz/shymkent/firm/70000001090143101</t>
  </si>
  <si>
    <t>https://www.openstreetmap.org/node/12964362470</t>
  </si>
  <si>
    <t>SHY-0575</t>
  </si>
  <si>
    <t>КазМунай Газ</t>
  </si>
  <si>
    <t>улица Рашидова, 27A</t>
  </si>
  <si>
    <t>https://www.openstreetmap.org/way/466393596</t>
  </si>
  <si>
    <t>SHY-0576</t>
  </si>
  <si>
    <t>улица Казыбек Би, 52Б</t>
  </si>
  <si>
    <t>88000800911</t>
  </si>
  <si>
    <t>https://2gis.kz/shymkent/firm/70000001110348021</t>
  </si>
  <si>
    <t>SHY-0577</t>
  </si>
  <si>
    <t>Тамерлановское шоссе, 20Б/1</t>
  </si>
  <si>
    <t>https://2gis.kz/shymkent/firm/70000001110537780</t>
  </si>
  <si>
    <t>SHY-0578</t>
  </si>
  <si>
    <t>улица Алпысбаева, 128/3</t>
  </si>
  <si>
    <t>https://2gis.kz/shymkent/firm/70000001105816425</t>
  </si>
  <si>
    <t>https://2gis.kz/shymkent/firm/70000001077526672</t>
  </si>
  <si>
    <t>SHY-0579</t>
  </si>
  <si>
    <t>улица Жибек жолы, 66а</t>
  </si>
  <si>
    <t>https://2gis.kz/shymkent/firm/70000001081065764</t>
  </si>
  <si>
    <t>https://www.openstreetmap.org/way/412484129</t>
  </si>
  <si>
    <t>SHY-0580</t>
  </si>
  <si>
    <t>улица Аргынбекова, 133/4</t>
  </si>
  <si>
    <t>https://2gis.kz/shymkent/firm/70000001082061286</t>
  </si>
  <si>
    <t>https://www.openstreetmap.org/node/10792604494</t>
  </si>
  <si>
    <t>SHY-0581</t>
  </si>
  <si>
    <t>Rosazianeft</t>
  </si>
  <si>
    <t>Тамерлановское шоссе, 117/2</t>
  </si>
  <si>
    <t>+77782904242</t>
  </si>
  <si>
    <t>https://2gis.kz/shymkent/firm/70000001059576497</t>
  </si>
  <si>
    <t>https://www.openstreetmap.org/node/9348833855</t>
  </si>
  <si>
    <t>SHY-0582</t>
  </si>
  <si>
    <t>ROSPROM NEFT</t>
  </si>
  <si>
    <t>улица Жибек жолы, 1/7</t>
  </si>
  <si>
    <t>https://2gis.kz/shymkent/firm/70000001067863749</t>
  </si>
  <si>
    <t>https://www.openstreetmap.org/way/661233417</t>
  </si>
  <si>
    <t>SHY-0583</t>
  </si>
  <si>
    <t>Royal Petrol</t>
  </si>
  <si>
    <t>автодорога А-2, 1</t>
  </si>
  <si>
    <t>+77273831757</t>
  </si>
  <si>
    <t>https://2gis.kz/shymkent/firm/70000001111763578</t>
  </si>
  <si>
    <t>SHY-0584</t>
  </si>
  <si>
    <t>улица Жибек жолы, 20в</t>
  </si>
  <si>
    <t>https://2gis.kz/shymkent/firm/70000001095719421</t>
  </si>
  <si>
    <t>https://www.openstreetmap.org/way/166826172</t>
  </si>
  <si>
    <t>SHY-0585</t>
  </si>
  <si>
    <t>улица Жибек жолы, 143/2</t>
  </si>
  <si>
    <t>https://2gis.kz/shymkent/firm/70000001100841348</t>
  </si>
  <si>
    <t>SHY-0586</t>
  </si>
  <si>
    <t>Алматинская трасса, 5/8</t>
  </si>
  <si>
    <t>https://2gis.kz/shymkent/firm/70000001102937162</t>
  </si>
  <si>
    <t>https://www.openstreetmap.org/way/660982261</t>
  </si>
  <si>
    <t>SHY-0587</t>
  </si>
  <si>
    <t>https://2gis.kz/shymkent/firm/70000001095535380</t>
  </si>
  <si>
    <t>SHY-0588</t>
  </si>
  <si>
    <t>Satti zhol</t>
  </si>
  <si>
    <t>https://www.openstreetmap.org/node/1519534805</t>
  </si>
  <si>
    <t>https://www.openstreetmap.org/way/466419000</t>
  </si>
  <si>
    <t>SHY-0589</t>
  </si>
  <si>
    <t>Satti Zhol</t>
  </si>
  <si>
    <t>улица Жибек жолы, 1444</t>
  </si>
  <si>
    <t>+77252417053</t>
  </si>
  <si>
    <t>https://2gis.kz/shymkent/firm/70000001027391307</t>
  </si>
  <si>
    <t>https://www.openstreetmap.org/node/1506336084 | https://2gis.kz/shymkent/firm/70000001027446287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5</t>
  </si>
  <si>
    <t>SHY-0590</t>
  </si>
  <si>
    <t>улица Дулати, 225/6</t>
  </si>
  <si>
    <t>https://2gis.kz/shymkent/firm/70000001025941959</t>
  </si>
  <si>
    <t>SHY-0591</t>
  </si>
  <si>
    <t>Sinooil</t>
  </si>
  <si>
    <t>+7 800 0700180</t>
  </si>
  <si>
    <t>https://www.openstreetmap.org/node/11259474205</t>
  </si>
  <si>
    <t>SHY-0592</t>
  </si>
  <si>
    <t>автодорога А-2, 96</t>
  </si>
  <si>
    <t>88000700180, +7 800 0700180</t>
  </si>
  <si>
    <t>https://2gis.kz/shymkent/firm/70000001028604024</t>
  </si>
  <si>
    <t>https://www.openstreetmap.org/node/1506803844 | https://www.openstreetmap.org/way/466419002</t>
  </si>
  <si>
    <t>SHY-0593</t>
  </si>
  <si>
    <t>улица Капал батыра, 184/90</t>
  </si>
  <si>
    <t>https://2gis.kz/shymkent/firm/70000001028653312</t>
  </si>
  <si>
    <t>https://www.openstreetmap.org/node/1446285288</t>
  </si>
  <si>
    <t>SHY-0594</t>
  </si>
  <si>
    <t>проспект Тауке хана, 19/3</t>
  </si>
  <si>
    <t>https://2gis.kz/shymkent/firm/70000001036373654</t>
  </si>
  <si>
    <t>https://www.openstreetmap.org/node/11259474207</t>
  </si>
  <si>
    <t>SHY-0595</t>
  </si>
  <si>
    <t>проспект Кабанбай батыра, 18/6</t>
  </si>
  <si>
    <t>88000700180</t>
  </si>
  <si>
    <t>https://2gis.kz/shymkent/firm/70000001094342274</t>
  </si>
  <si>
    <t>SHY-0596</t>
  </si>
  <si>
    <t>https://www.openstreetmap.org/node/11259474231</t>
  </si>
  <si>
    <t>SHY-0597</t>
  </si>
  <si>
    <t>https://www.openstreetmap.org/node/11259474208</t>
  </si>
  <si>
    <t>SHY-0598</t>
  </si>
  <si>
    <t>улица Мадели Кожа, 1г/1</t>
  </si>
  <si>
    <t>https://2gis.kz/shymkent/firm/70000001026045899</t>
  </si>
  <si>
    <t>https://www.openstreetmap.org/way/113660320</t>
  </si>
  <si>
    <t>SHY-0599</t>
  </si>
  <si>
    <t>Тамерлановское шоссе, 22/12</t>
  </si>
  <si>
    <t>https://2gis.kz/shymkent/firm/70000001026044943</t>
  </si>
  <si>
    <t>https://www.openstreetmap.org/node/3702462689</t>
  </si>
  <si>
    <t>SHY-0600</t>
  </si>
  <si>
    <t>улица Рыскулова, 4а/4</t>
  </si>
  <si>
    <t>https://2gis.kz/shymkent/firm/70000001025877075</t>
  </si>
  <si>
    <t>https://www.openstreetmap.org/way/123253198</t>
  </si>
  <si>
    <t>SHY-0601</t>
  </si>
  <si>
    <t>проспект Момышулы, 127/1</t>
  </si>
  <si>
    <t>https://2gis.kz/shymkent/firm/70000001026151064</t>
  </si>
  <si>
    <t>https://www.openstreetmap.org/node/3730239628</t>
  </si>
  <si>
    <t>SHY-0602</t>
  </si>
  <si>
    <t>улица Жибек жолы, 291</t>
  </si>
  <si>
    <t>https://2gis.kz/shymkent/firm/70000001081653172</t>
  </si>
  <si>
    <t>https://www.openstreetmap.org/node/11259474203</t>
  </si>
  <si>
    <t>SHY-0603</t>
  </si>
  <si>
    <t>Тамерлановское шоссе, 90/1</t>
  </si>
  <si>
    <t>https://2gis.kz/shymkent/firm/70000001026074640</t>
  </si>
  <si>
    <t>https://www.openstreetmap.org/way/366269445</t>
  </si>
  <si>
    <t>SHY-0604</t>
  </si>
  <si>
    <t>Алматинская трасса, 40/4</t>
  </si>
  <si>
    <t>https://2gis.kz/shymkent/firm/70000001026500344</t>
  </si>
  <si>
    <t>https://www.openstreetmap.org/node/11259474206</t>
  </si>
  <si>
    <t>SHY-0605</t>
  </si>
  <si>
    <t>улица Тулеметова, 2/11</t>
  </si>
  <si>
    <t>https://2gis.kz/shymkent/firm/70000001081149123</t>
  </si>
  <si>
    <t>https://www.openstreetmap.org/way/660755108</t>
  </si>
  <si>
    <t>SHY-0606</t>
  </si>
  <si>
    <t>https://www.openstreetmap.org/node/1509767443</t>
  </si>
  <si>
    <t>https://www.openstreetmap.org/way/370564493</t>
  </si>
  <si>
    <t>SHY-0607</t>
  </si>
  <si>
    <t>https://www.openstreetmap.org/node/1506266825</t>
  </si>
  <si>
    <t>SHY-0608</t>
  </si>
  <si>
    <t>https://www.openstreetmap.org/node/3742597573</t>
  </si>
  <si>
    <t>SHY-0609</t>
  </si>
  <si>
    <t>Алматинская трасса, 13/2</t>
  </si>
  <si>
    <t>https://2gis.kz/shymkent/firm/70000001030297181</t>
  </si>
  <si>
    <t>https://www.openstreetmap.org/node/4464558889 | https://www.openstreetmap.org/way/661234403</t>
  </si>
  <si>
    <t>SHY-0610</t>
  </si>
  <si>
    <t>https://www.openstreetmap.org/node/11259474199</t>
  </si>
  <si>
    <t>SHY-0611</t>
  </si>
  <si>
    <t>T.S</t>
  </si>
  <si>
    <t>улица Жансугурова, 307а</t>
  </si>
  <si>
    <t>+77010718522, +7 7252 37 13 79</t>
  </si>
  <si>
    <t>https://2gis.kz/shymkent/firm/70000001034580093</t>
  </si>
  <si>
    <t>https://www.openstreetmap.org/node/12683991056</t>
  </si>
  <si>
    <t>SHY-0612</t>
  </si>
  <si>
    <t>улица Малая Гульбах, 3/2</t>
  </si>
  <si>
    <t>+77010716218, +7 7252 37 13 79</t>
  </si>
  <si>
    <t>https://2gis.kz/shymkent/firm/70000001026021823</t>
  </si>
  <si>
    <t>https://www.openstreetmap.org/way/466406406</t>
  </si>
  <si>
    <t>SHY-0613</t>
  </si>
  <si>
    <t>улица Калдаякова, 30/3</t>
  </si>
  <si>
    <t>+77010716208, +7 7252 37 13 79</t>
  </si>
  <si>
    <t>https://2gis.kz/shymkent/firm/70000001026008682</t>
  </si>
  <si>
    <t>https://www.openstreetmap.org/node/1783506186</t>
  </si>
  <si>
    <t>SHY-0614</t>
  </si>
  <si>
    <t>улица Кожанова, 2Б</t>
  </si>
  <si>
    <t>+77010917069, +7 7252 37 13 79</t>
  </si>
  <si>
    <t>https://2gis.kz/shymkent/firm/70000001025991916</t>
  </si>
  <si>
    <t>https://www.openstreetmap.org/node/12683991048</t>
  </si>
  <si>
    <t>SHY-0615</t>
  </si>
  <si>
    <t>улица Жибек жолы, 52</t>
  </si>
  <si>
    <t>+77015435291, +7 7252 37 13 79</t>
  </si>
  <si>
    <t>https://2gis.kz/shymkent/firm/70000001026066526</t>
  </si>
  <si>
    <t>https://www.openstreetmap.org/way/113112664</t>
  </si>
  <si>
    <t>SHY-0616</t>
  </si>
  <si>
    <t>Тамерлановское шоссе, 19/14</t>
  </si>
  <si>
    <t>+77010716214, +7 7252 37 13 79</t>
  </si>
  <si>
    <t>https://2gis.kz/shymkent/firm/70000001025960582</t>
  </si>
  <si>
    <t>https://www.openstreetmap.org/node/12683991057</t>
  </si>
  <si>
    <t>SHY-0617</t>
  </si>
  <si>
    <t>улица Байтурсынова, 74/6</t>
  </si>
  <si>
    <t>+77010264673, +7 7252 37 13 79</t>
  </si>
  <si>
    <t>https://2gis.kz/shymkent/firm/70000001025951284</t>
  </si>
  <si>
    <t>https://www.openstreetmap.org/node/3302025062</t>
  </si>
  <si>
    <t>SHY-0618</t>
  </si>
  <si>
    <t>Тамерлановское шоссе, 90/3</t>
  </si>
  <si>
    <t>+77015435288</t>
  </si>
  <si>
    <t>https://2gis.kz/shymkent/firm/70000001026074845</t>
  </si>
  <si>
    <t>https://www.openstreetmap.org/way/113102245</t>
  </si>
  <si>
    <t>SHY-0619</t>
  </si>
  <si>
    <t>проспект Байдибек би, 88/8</t>
  </si>
  <si>
    <t>+77010716205, +7 7252 37 13 79</t>
  </si>
  <si>
    <t>https://2gis.kz/shymkent/firm/70000001026500283</t>
  </si>
  <si>
    <t>https://www.openstreetmap.org/node/4677605590 | https://www.openstreetmap.org/way/660991228</t>
  </si>
  <si>
    <t>SHY-0620</t>
  </si>
  <si>
    <t>Taraz Gaz Oil</t>
  </si>
  <si>
    <t>улица Момынова, 1/2а</t>
  </si>
  <si>
    <t>+77754000089</t>
  </si>
  <si>
    <t>https://2gis.kz/shymkent/firm/70000001089561295</t>
  </si>
  <si>
    <t>SHY-0621</t>
  </si>
  <si>
    <t>улица Жибек жолы, 24/2а</t>
  </si>
  <si>
    <t>https://2gis.kz/shymkent/firm/70000001098635293</t>
  </si>
  <si>
    <t>https://www.openstreetmap.org/node/2239516342</t>
  </si>
  <si>
    <t>SHY-0622</t>
  </si>
  <si>
    <t>https://2gis.kz/shymkent/firm/70000001093614406</t>
  </si>
  <si>
    <t>SHY-0623</t>
  </si>
  <si>
    <t>микрорайон Восток, 95/2</t>
  </si>
  <si>
    <t>https://2gis.kz/shymkent/firm/70000001057636987</t>
  </si>
  <si>
    <t>SHY-0624</t>
  </si>
  <si>
    <t>ULUS-OIL</t>
  </si>
  <si>
    <t>проспект Байдибек би, 88/10</t>
  </si>
  <si>
    <t>https://2gis.kz/shymkent/firm/70000001027963806</t>
  </si>
  <si>
    <t>https://www.openstreetmap.org/node/4677630689 | https://www.openstreetmap.org/way/660991220</t>
  </si>
  <si>
    <t>SHY-0625</t>
  </si>
  <si>
    <t>Азимут Газ</t>
  </si>
  <si>
    <t>Акназар хана улица, 44/7</t>
  </si>
  <si>
    <t>https://2gis.kz/shymkent/firm/70000001039290193</t>
  </si>
  <si>
    <t>SHY-0626</t>
  </si>
  <si>
    <t>https://2gis.kz/shymkent/firm/70000001034196001</t>
  </si>
  <si>
    <t>SHY-0627</t>
  </si>
  <si>
    <t>Арал газ</t>
  </si>
  <si>
    <t>Сайрамская улица, 184/1</t>
  </si>
  <si>
    <t>https://2gis.kz/shymkent/firm/70000001050779076</t>
  </si>
  <si>
    <t>SHY-0628</t>
  </si>
  <si>
    <t>Аргос</t>
  </si>
  <si>
    <t>Капал батыра 5, 33</t>
  </si>
  <si>
    <t>+77252439080</t>
  </si>
  <si>
    <t>https://2gis.kz/shymkent/firm/70000001105782578</t>
  </si>
  <si>
    <t>SHY-0629</t>
  </si>
  <si>
    <t>улица Бердикожа батыра, 330/4</t>
  </si>
  <si>
    <t>https://2gis.kz/shymkent/firm/70000001033175793</t>
  </si>
  <si>
    <t>SHY-0630</t>
  </si>
  <si>
    <t>улица Капал батыра, 6а/2</t>
  </si>
  <si>
    <t>https://2gis.kz/shymkent/firm/70000001059395982</t>
  </si>
  <si>
    <t>https://www.openstreetmap.org/node/1458043980</t>
  </si>
  <si>
    <t>SHY-0631</t>
  </si>
  <si>
    <t>улица Жибек жолы, 86/1</t>
  </si>
  <si>
    <t>https://2gis.kz/shymkent/firm/70000001026486748</t>
  </si>
  <si>
    <t>SHY-0632</t>
  </si>
  <si>
    <t>Бебарыс-ГАЗ</t>
  </si>
  <si>
    <t>https://www.openstreetmap.org/node/4464690693</t>
  </si>
  <si>
    <t>SHY-0633</t>
  </si>
  <si>
    <t>https://www.openstreetmap.org/node/1458043952</t>
  </si>
  <si>
    <t>SHY-0634</t>
  </si>
  <si>
    <t>Бейбарс Газ</t>
  </si>
  <si>
    <t>автодорога А-2, 5/1а</t>
  </si>
  <si>
    <t>+77715559913</t>
  </si>
  <si>
    <t>https://2gis.kz/shymkent/firm/70000001027896278</t>
  </si>
  <si>
    <t>SHY-0635</t>
  </si>
  <si>
    <t>улица Рашидова, 28/1</t>
  </si>
  <si>
    <t>https://2gis.kz/shymkent/firm/70000001027889126</t>
  </si>
  <si>
    <t>SHY-0636</t>
  </si>
  <si>
    <t>улица Момынова, 90/5</t>
  </si>
  <si>
    <t>https://2gis.kz/shymkent/firm/70000001027889343</t>
  </si>
  <si>
    <t>SHY-0637</t>
  </si>
  <si>
    <t>Тамерлановское шоссе, 20Б/10</t>
  </si>
  <si>
    <t>https://2gis.kz/shymkent/firm/70000001026040385</t>
  </si>
  <si>
    <t>SHY-0638</t>
  </si>
  <si>
    <t>проспект Кунаева, 88/1</t>
  </si>
  <si>
    <t>https://2gis.kz/shymkent/firm/70000001112605642</t>
  </si>
  <si>
    <t>https://www.openstreetmap.org/way/114919171</t>
  </si>
  <si>
    <t>SHY-0639</t>
  </si>
  <si>
    <t>https://2gis.kz/shymkent/firm/70000001057714192</t>
  </si>
  <si>
    <t>SHY-0640</t>
  </si>
  <si>
    <t>улица Жибек жолы, 77/1</t>
  </si>
  <si>
    <t>https://2gis.kz/shymkent/firm/70000001102985244</t>
  </si>
  <si>
    <t>SHY-0641</t>
  </si>
  <si>
    <t>улица Рыскулова, 84/2</t>
  </si>
  <si>
    <t>https://2gis.kz/shymkent/firm/70000001027889133</t>
  </si>
  <si>
    <t>https://www.openstreetmap.org/way/1037910073</t>
  </si>
  <si>
    <t>SHY-0642</t>
  </si>
  <si>
    <t>улица Жибек жолы, 45а</t>
  </si>
  <si>
    <t>https://2gis.kz/shymkent/firm/70000001100103936</t>
  </si>
  <si>
    <t>SHY-0643</t>
  </si>
  <si>
    <t>улица Аргынбекова, 134/4</t>
  </si>
  <si>
    <t>https://2gis.kz/shymkent/firm/70000001061310694</t>
  </si>
  <si>
    <t>SHY-0644</t>
  </si>
  <si>
    <t>https://2gis.kz/shymkent/firm/70000001037820276</t>
  </si>
  <si>
    <t>https://www.openstreetmap.org/node/1453372741</t>
  </si>
  <si>
    <t>SHY-0645</t>
  </si>
  <si>
    <t>улица Жангельдина, 35/1а</t>
  </si>
  <si>
    <t>https://2gis.kz/shymkent/firm/70000001030800417</t>
  </si>
  <si>
    <t>https://www.openstreetmap.org/way/117840430</t>
  </si>
  <si>
    <t>SHY-0646</t>
  </si>
  <si>
    <t>улица Рыскулова, 559/1</t>
  </si>
  <si>
    <t>https://2gis.kz/shymkent/firm/70000001065570893</t>
  </si>
  <si>
    <t>SHY-0647</t>
  </si>
  <si>
    <t>https://www.openstreetmap.org/node/3702462671</t>
  </si>
  <si>
    <t>SHY-0648</t>
  </si>
  <si>
    <t>https://www.openstreetmap.org/node/3702462667</t>
  </si>
  <si>
    <t>SHY-0649</t>
  </si>
  <si>
    <t>Auto Gas Stations</t>
  </si>
  <si>
    <t>улица Уалиханова, 182/2</t>
  </si>
  <si>
    <t>https://2gis.kz/shymkent/firm/70000001043459363</t>
  </si>
  <si>
    <t>SHY-0650</t>
  </si>
  <si>
    <t>улица Аль-Фараби, 49Б/1</t>
  </si>
  <si>
    <t>https://2gis.kz/shymkent/firm/70000001036600364</t>
  </si>
  <si>
    <t>SHY-0651</t>
  </si>
  <si>
    <t>проспект Байдибек би, 130/6а</t>
  </si>
  <si>
    <t>https://2gis.kz/shymkent/firm/70000001043456603</t>
  </si>
  <si>
    <t>https://www.openstreetmap.org/way/661238032</t>
  </si>
  <si>
    <t>SHY-0652</t>
  </si>
  <si>
    <t>Gasenergy</t>
  </si>
  <si>
    <t>+7 800 0700197</t>
  </si>
  <si>
    <t>https://www.openstreetmap.org/node/8742406382</t>
  </si>
  <si>
    <t>SHY-0653</t>
  </si>
  <si>
    <t>https://www.openstreetmap.org/node/8742406393</t>
  </si>
  <si>
    <t>SHY-0654</t>
  </si>
  <si>
    <t>https://www.openstreetmap.org/node/8742406386</t>
  </si>
  <si>
    <t>SHY-0655</t>
  </si>
  <si>
    <t>https://www.openstreetmap.org/node/8742406371</t>
  </si>
  <si>
    <t>SHY-0656</t>
  </si>
  <si>
    <t>https://www.openstreetmap.org/node/8742406362</t>
  </si>
  <si>
    <t>SHY-0657</t>
  </si>
  <si>
    <t>https://www.openstreetmap.org/node/8749131026</t>
  </si>
  <si>
    <t>https://www.openstreetmap.org/node/8749131027</t>
  </si>
  <si>
    <t>SHY-0658</t>
  </si>
  <si>
    <t>https://www.openstreetmap.org/node/8742406395</t>
  </si>
  <si>
    <t>SHY-0659</t>
  </si>
  <si>
    <t>https://www.openstreetmap.org/node/8742406397</t>
  </si>
  <si>
    <t>SHY-0660</t>
  </si>
  <si>
    <t>https://www.openstreetmap.org/node/8749131025</t>
  </si>
  <si>
    <t>SHY-0661</t>
  </si>
  <si>
    <t>https://www.openstreetmap.org/node/8742406380</t>
  </si>
  <si>
    <t>SHY-0662</t>
  </si>
  <si>
    <t>https://www.openstreetmap.org/node/8742406389</t>
  </si>
  <si>
    <t>SHY-0663</t>
  </si>
  <si>
    <t>GasEnergy</t>
  </si>
  <si>
    <t>проспект Абая, 17</t>
  </si>
  <si>
    <t>https://www.openstreetmap.org/node/8742406385</t>
  </si>
  <si>
    <t>https://www.openstreetmap.org/way/202975989</t>
  </si>
  <si>
    <t>SHY-0664</t>
  </si>
  <si>
    <t>https://www.openstreetmap.org/node/8742406370</t>
  </si>
  <si>
    <t>SHY-0665</t>
  </si>
  <si>
    <t>https://www.openstreetmap.org/node/8742406364</t>
  </si>
  <si>
    <t>SHY-0666</t>
  </si>
  <si>
    <t>https://www.openstreetmap.org/node/8742406391</t>
  </si>
  <si>
    <t>SHY-0667</t>
  </si>
  <si>
    <t>https://www.openstreetmap.org/node/8742406405</t>
  </si>
  <si>
    <t>SHY-0668</t>
  </si>
  <si>
    <t>GASENERGY</t>
  </si>
  <si>
    <t>улица Капал батыра, 10/11</t>
  </si>
  <si>
    <t>88000800911, +7 800 0700197</t>
  </si>
  <si>
    <t>https://2gis.kz/shymkent/firm/70000001052452007</t>
  </si>
  <si>
    <t>https://www.openstreetmap.org/node/10961125918</t>
  </si>
  <si>
    <t>SHY-0669</t>
  </si>
  <si>
    <t>автодорога А-2, 5/4</t>
  </si>
  <si>
    <t>https://2gis.kz/shymkent/firm/70000001033867298</t>
  </si>
  <si>
    <t>https://www.openstreetmap.org/node/1506803847 | https://www.openstreetmap.org/way/370016529</t>
  </si>
  <si>
    <t>SHY-0670</t>
  </si>
  <si>
    <t>микрорайон Нурсат, 108/3</t>
  </si>
  <si>
    <t>https://2gis.kz/shymkent/firm/70000001036398414</t>
  </si>
  <si>
    <t>https://www.openstreetmap.org/way/1201630052</t>
  </si>
  <si>
    <t>SHY-0671</t>
  </si>
  <si>
    <t>Тамерлановское шоссе, 111/2</t>
  </si>
  <si>
    <t>88000800911, +7 800 0700197, +7 800 0801008</t>
  </si>
  <si>
    <t>https://2gis.kz/shymkent/firm/70000001032133382</t>
  </si>
  <si>
    <t>https://www.openstreetmap.org/node/8742406363 | https://www.openstreetmap.org/node/9433745043</t>
  </si>
  <si>
    <t>SHY-0672</t>
  </si>
  <si>
    <t>улица Дидар, 2/3</t>
  </si>
  <si>
    <t>https://2gis.kz/shymkent/firm/70000001052315057</t>
  </si>
  <si>
    <t>https://www.openstreetmap.org/node/10961125919</t>
  </si>
  <si>
    <t>SHY-0673</t>
  </si>
  <si>
    <t>Lp Gas</t>
  </si>
  <si>
    <t>улица Мустафы Шокая, 12</t>
  </si>
  <si>
    <t>https://2gis.kz/shymkent/firm/70000001089150664</t>
  </si>
  <si>
    <t>SHY-0674</t>
  </si>
  <si>
    <t>БЦ СӘТ, улица Туркестанская, 2/2а, Шымкент, Шымкент городская администрация</t>
  </si>
  <si>
    <t>+77013663608</t>
  </si>
  <si>
    <t>https://2gis.kz/shymkent/firm/70000001110577342</t>
  </si>
  <si>
    <t>высокая</t>
  </si>
  <si>
    <t>Супермаркеты · Доставка</t>
  </si>
  <si>
    <t>SHY-0675</t>
  </si>
  <si>
    <t>Улица Сырым батыра, 10/7, Шымкент, Шымкент городская администрация</t>
  </si>
  <si>
    <t>https://instagram.com/adilet_supermarket | https://2gis.kz/shymkent/firm/70000001110110269 | https://2gis.kz/shymkent/branches/70000001101873640 | https://wa.me/77077217478</t>
  </si>
  <si>
    <t>https://2gis.kz/shymkent/firm/70000001110110269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</si>
  <si>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3</t>
  </si>
  <si>
    <t>Супермаркеты · Доставка | listed_operating_with_schedule</t>
  </si>
  <si>
    <t>SHY-0676</t>
  </si>
  <si>
    <t>Аділет</t>
  </si>
  <si>
    <t>Возможная сеть: Аділет</t>
  </si>
  <si>
    <t>Микрорайон Туран, 359/36, Шымкент, Шымкент городская администрация</t>
  </si>
  <si>
    <t>+77716144483</t>
  </si>
  <si>
    <t>https://2gis.kz/shymkent/firm/70000001057388959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</si>
  <si>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5</t>
  </si>
  <si>
    <t>SHY-0677</t>
  </si>
  <si>
    <t>Проспект Нурсултана Назарбаева, 50, Шымкент, Шымкент городская администрация</t>
  </si>
  <si>
    <t>+77780010770</t>
  </si>
  <si>
    <t>https://instagram.com/alco_home_shymkent</t>
  </si>
  <si>
    <t>https://2gis.kz/shymkent/firm/70000001037449177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</si>
  <si>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4</t>
  </si>
  <si>
    <t>SHY-0678</t>
  </si>
  <si>
    <t>Улица Гагарина, 238, Шымкент, Шымкент городская администрация</t>
  </si>
  <si>
    <t>+77476571712</t>
  </si>
  <si>
    <t>https://2gis.kz/shymkent/firm/70000001026566591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</si>
  <si>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4</t>
  </si>
  <si>
    <t>SHY-0679</t>
  </si>
  <si>
    <t>Азат</t>
  </si>
  <si>
    <t>Улица Жиделибайсын, 90/4, Шымкент, Шымкент городская администрация</t>
  </si>
  <si>
    <t>+77011774488</t>
  </si>
  <si>
    <t>https://2gis.kz/shymkent/firm/70000001026116578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</si>
  <si>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2</t>
  </si>
  <si>
    <t>SHY-0680</t>
  </si>
  <si>
    <t>Азико</t>
  </si>
  <si>
    <t>Улица Аскарова, 32, Шымкент, Шымкент городская администрация</t>
  </si>
  <si>
    <t>https://2gis.kz/shymkent/firm/70000001025975338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</si>
  <si>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3</t>
  </si>
  <si>
    <t>SHY-0681</t>
  </si>
  <si>
    <t>Ай маркет</t>
  </si>
  <si>
    <t>Бабыр улица, 119/1, Шымкент, Шымкент городская администрация</t>
  </si>
  <si>
    <t>+77713648437</t>
  </si>
  <si>
    <t>https://2gis.kz/shymkent/firm/70000001067063666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</si>
  <si>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4</t>
  </si>
  <si>
    <t>SHY-0682</t>
  </si>
  <si>
    <t>Ай-Сара</t>
  </si>
  <si>
    <t>Алматинская трасса, 34, Шымкент, Шымкент городская администрация</t>
  </si>
  <si>
    <t>+77759629649</t>
  </si>
  <si>
    <t>https://instagram.com/ai_sara_market | https://2gis.kz/shymkent/firm/70000001032383314 | https://2gis.kz/shymkent/branches/70000001032383313 | https://wa.me/77759629649</t>
  </si>
  <si>
    <t>https://2gis.kz/shymkent/firm/70000001032383314</t>
  </si>
  <si>
    <t>SHY-0683</t>
  </si>
  <si>
    <t>Туркия улица, 1338, Шымкент, Шымкент городская администрация</t>
  </si>
  <si>
    <t>+77076878989</t>
  </si>
  <si>
    <t>https://instagram.com/ai_sara_market | https://2gis.kz/shymkent/firm/70000001095664491 | https://2gis.kz/shymkent/branches/70000001032383313 | https://wa.me/77076878989</t>
  </si>
  <si>
    <t>https://2gis.kz/shymkent/firm/70000001095664491</t>
  </si>
  <si>
    <t>SHY-0684</t>
  </si>
  <si>
    <t>Айару</t>
  </si>
  <si>
    <t>Возможная сеть: Айару</t>
  </si>
  <si>
    <t>Улица Арайлы тан, 30/1, Шымкент, Шымкент городская администрация</t>
  </si>
  <si>
    <t>+77078728682</t>
  </si>
  <si>
    <t>https://2gis.kz/shymkent/firm/70000001035570845</t>
  </si>
  <si>
    <t>SHY-0685</t>
  </si>
  <si>
    <t>Айша</t>
  </si>
  <si>
    <t>Улица Туймекент, 11/2, Шымкент, Шымкент городская администрация</t>
  </si>
  <si>
    <t>https://2gis.kz/shymkent/firm/70000001111101850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</si>
  <si>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5</t>
  </si>
  <si>
    <t>SHY-0686</t>
  </si>
  <si>
    <t>Акмаржан</t>
  </si>
  <si>
    <t>Улица Центральная, 3, Шымкент, Шымкент городская администрация</t>
  </si>
  <si>
    <t>https://2gis.kz/shymkent/firm/70000001083266862</t>
  </si>
  <si>
    <t>SHY-0687</t>
  </si>
  <si>
    <t>Ақжол халал</t>
  </si>
  <si>
    <t>Улица Сырым батыра, 4/2, Шымкент, Шымкент городская администрация</t>
  </si>
  <si>
    <t>+77476293907</t>
  </si>
  <si>
    <t>https://2gis.kz/shymkent/firm/70000001059691608</t>
  </si>
  <si>
    <t>SHY-0688</t>
  </si>
  <si>
    <t>Алтынбике</t>
  </si>
  <si>
    <t>Салкам Жангир улица, 100, Шымкент, Шымкент городская администрация</t>
  </si>
  <si>
    <t>+77776671973</t>
  </si>
  <si>
    <t>https://2gis.kz/shymkent/firm/70000001062333948</t>
  </si>
  <si>
    <t>SHY-0689</t>
  </si>
  <si>
    <t>Антарес</t>
  </si>
  <si>
    <t>Улица Елшибек батыра, 78/1, Шымкент, Шымкент городская администрация</t>
  </si>
  <si>
    <t>+77787411212</t>
  </si>
  <si>
    <t>https://instagram.com/new_antares_</t>
  </si>
  <si>
    <t>https://2gis.kz/shymkent/firm/70000001026179287</t>
  </si>
  <si>
    <t>SHY-0690</t>
  </si>
  <si>
    <t>Возможная сеть: Арай</t>
  </si>
  <si>
    <t>Заводская улица, 70а, Шымкент, Шымкент городская администрация</t>
  </si>
  <si>
    <t>https://2gis.kz/shymkent/firm/70000001083272014</t>
  </si>
  <si>
    <t>SHY-0691</t>
  </si>
  <si>
    <t>Возможная сеть: Арзан</t>
  </si>
  <si>
    <t>Проспект Республики, 46а, Шымкент, Шымкент городская администрация</t>
  </si>
  <si>
    <t>+77087207180</t>
  </si>
  <si>
    <t>https://2gis.kz/shymkent/firm/70000001060675607</t>
  </si>
  <si>
    <t>SHY-0692</t>
  </si>
  <si>
    <t>Улица Желтоксан, 334а, Шымкент, Шымкент городская администрация</t>
  </si>
  <si>
    <t>https://2gis.kz/shymkent/firm/70000001099381542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</si>
  <si>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/page/2</t>
  </si>
  <si>
    <t>SHY-0693</t>
  </si>
  <si>
    <t>Арман</t>
  </si>
  <si>
    <t>Улица Капал батыра, 104Б, Шымкент, Шымкент городская администрация</t>
  </si>
  <si>
    <t>https://2gis.kz/shymkent/firm/70000001034522155</t>
  </si>
  <si>
    <t>SHY-0694</t>
  </si>
  <si>
    <t>Возможная сеть: Аружан</t>
  </si>
  <si>
    <t>Проспект Абая, 23, Шымкент, Шымкент городская администрация</t>
  </si>
  <si>
    <t>https://2gis.kz/shymkent/firm/70000001026065293</t>
  </si>
  <si>
    <t>SHY-0695</t>
  </si>
  <si>
    <t>Возможная сеть: Асем</t>
  </si>
  <si>
    <t>Алматинская трасса, 3/2, Шымкент, Шымкент городская администрация</t>
  </si>
  <si>
    <t>https://2gis.kz/shymkent/firm/70000001054562731</t>
  </si>
  <si>
    <t>SHY-0696</t>
  </si>
  <si>
    <t>Аяулым</t>
  </si>
  <si>
    <t>Улица Отебаева, 41б, Шымкент, Шымкент городская администрация</t>
  </si>
  <si>
    <t>+77718927411</t>
  </si>
  <si>
    <t>https://2gis.kz/shymkent/firm/70000001081568226</t>
  </si>
  <si>
    <t>SHY-0697</t>
  </si>
  <si>
    <t>Бак Дар</t>
  </si>
  <si>
    <t>Улица Изгилик, 42/31, Шымкент, Шымкент городская администрация</t>
  </si>
  <si>
    <t>+77011023355</t>
  </si>
  <si>
    <t>https://2gis.kz/shymkent/firm/70000001038266849</t>
  </si>
  <si>
    <t>SHY-0698</t>
  </si>
  <si>
    <t>Балзира Апа</t>
  </si>
  <si>
    <t>Улица Бахриз Рамиз, 77, Шымкент, Шымкент городская администрация</t>
  </si>
  <si>
    <t>+77078478292</t>
  </si>
  <si>
    <t>https://2gis.kz/shymkent/firm/70000001105254449</t>
  </si>
  <si>
    <t>SHY-0699</t>
  </si>
  <si>
    <t>8-й микрорайон, 57, Шымкент, Шымкент городская администрация</t>
  </si>
  <si>
    <t>+77252540421</t>
  </si>
  <si>
    <t>https://2gis.kz/shymkent/firm/70000001030620833 | https://2gis.kz/shymkent/branches/70000001026084176</t>
  </si>
  <si>
    <t>https://2gis.kz/shymkent/firm/70000001030620833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</si>
  <si>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2</t>
  </si>
  <si>
    <t>listed_operating_with_schedule</t>
  </si>
  <si>
    <t>SHY-0700</t>
  </si>
  <si>
    <t>Улица Байтурсынова, 19, Шымкент, Шымкент городская администрация</t>
  </si>
  <si>
    <t>https://2gis.kz/shymkent/firm/70000001025820226 | https://2gis.kz/shymkent/branches/70000001026084176</t>
  </si>
  <si>
    <t>https://2gis.kz/shymkent/firm/70000001025820226</t>
  </si>
  <si>
    <t>SHY-0701</t>
  </si>
  <si>
    <t>Улица Казыбек Би, 19, Шымкент, Шымкент городская администрация</t>
  </si>
  <si>
    <t>https://2gis.kz/shymkent/firm/70000001025873356 | https://2gis.kz/shymkent/branches/70000001026084176</t>
  </si>
  <si>
    <t>https://2gis.kz/shymkent/firm/70000001025873356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</si>
  <si>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3</t>
  </si>
  <si>
    <t>SHY-0702</t>
  </si>
  <si>
    <t>Улица Аль-Фараби, 94/5, Шымкент, Шымкент городская администрация</t>
  </si>
  <si>
    <t>+77006473306</t>
  </si>
  <si>
    <t>https://2gis.kz/shymkent/firm/70000001027251400</t>
  </si>
  <si>
    <t>SHY-0703</t>
  </si>
  <si>
    <t>Возможная сеть: Береке</t>
  </si>
  <si>
    <t>Проспект Байдибек би, 22а, Шымкент, Шымкент городская администрация</t>
  </si>
  <si>
    <t>+77071227399</t>
  </si>
  <si>
    <t>https://2gis.kz/shymkent/firm/70000001026017384</t>
  </si>
  <si>
    <t>Супермаркеты · Кофе с собой</t>
  </si>
  <si>
    <t>SHY-0704</t>
  </si>
  <si>
    <t>Глобус</t>
  </si>
  <si>
    <t>Галамат улица, 13/1, Шымкент, Шымкент городская администрация</t>
  </si>
  <si>
    <t>+77758329606</t>
  </si>
  <si>
    <t>https://2gis.kz/shymkent/firm/70000001102243379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</si>
  <si>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4</t>
  </si>
  <si>
    <t>SHY-0705</t>
  </si>
  <si>
    <t>Демир</t>
  </si>
  <si>
    <t>Улица Капал батыра, 74Б, Шымкент, Шымкент городская администрация</t>
  </si>
  <si>
    <t>+77024600707</t>
  </si>
  <si>
    <t>https://2gis.kz/shymkent/firm/70000001035217969</t>
  </si>
  <si>
    <t>SHY-0706</t>
  </si>
  <si>
    <t>Тленшина улица, 19, Шымкент, Шымкент городская администрация</t>
  </si>
  <si>
    <t>+77750900020</t>
  </si>
  <si>
    <t>https://2gis.kz/shymkent/firm/70000001110710559</t>
  </si>
  <si>
    <t>SHY-0707</t>
  </si>
  <si>
    <t>Ер-тілеу</t>
  </si>
  <si>
    <t>Улица Жейхун, 10/3, Шымкент, Шымкент городская администрация</t>
  </si>
  <si>
    <t>+77055529181</t>
  </si>
  <si>
    <t>https://2gis.kz/shymkent/firm/70000001112819365</t>
  </si>
  <si>
    <t>SHY-0708</t>
  </si>
  <si>
    <t>Жайлау</t>
  </si>
  <si>
    <t>Улица Аль-Фараби, 574/2, Шымкент, Шымкент городская администрация</t>
  </si>
  <si>
    <t>+77713289060</t>
  </si>
  <si>
    <t>https://2gis.kz/shymkent/firm/70000001110533659</t>
  </si>
  <si>
    <t>SHY-0709</t>
  </si>
  <si>
    <t>Алатау батыра улица, 1982, Шымкент, Шымкент городская администрация</t>
  </si>
  <si>
    <t>+77072471819</t>
  </si>
  <si>
    <t>https://instagram.com/zhanalyk_market_ | https://2gis.kz/shymkent/firm/70000001103994220 | https://2gis.kz/shymkent/branches/70000001026492732 | https://wa.me/77072471819</t>
  </si>
  <si>
    <t>https://2gis.kz/shymkent/firm/70000001103994220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</si>
  <si>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3</t>
  </si>
  <si>
    <t>SHY-0710</t>
  </si>
  <si>
    <t>Жк Astana;Astana жилой комплекс, микрорайон Астана, 67, Шымкент, Шымкент городская администрация</t>
  </si>
  <si>
    <t>+77088900490, +77066537077</t>
  </si>
  <si>
    <t>https://instagram.com/zhanalyk_market_ | https://2gis.kz/shymkent/firm/70000001037756763 | https://2gis.kz/shymkent/branches/70000001026492732 | https://wa.me/77066537077</t>
  </si>
  <si>
    <t>https://2gis.kz/shymkent/firm/70000001037756763</t>
  </si>
  <si>
    <t>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2</t>
  </si>
  <si>
    <t>SHY-0711</t>
  </si>
  <si>
    <t>Микрорайон Нурсат, 198/4, Шымкент, Шымкент городская администрация</t>
  </si>
  <si>
    <t>+77087260717</t>
  </si>
  <si>
    <t>https://instagram.com/zhanalyk_market_ | https://2gis.kz/shymkent/firm/70000001034553197 | https://2gis.kz/shymkent/branches/70000001026492732 | https://wa.me/77025097888 | https://wa.me/77087260717</t>
  </si>
  <si>
    <t>https://2gis.kz/shymkent/firm/70000001034553197</t>
  </si>
  <si>
    <t>SHY-0712</t>
  </si>
  <si>
    <t>Микрорайон Туран, 683а, Шымкент, Шымкент городская администрация</t>
  </si>
  <si>
    <t>+77471709071, +77711373035</t>
  </si>
  <si>
    <t>https://instagram.com/zhanalyk_market_ | https://2gis.kz/shymkent/firm/70000001068551982 | https://2gis.kz/shymkent/branches/70000001026492732</t>
  </si>
  <si>
    <t>https://2gis.kz/shymkent/firm/70000001068551982</t>
  </si>
  <si>
    <t>SHY-0713</t>
  </si>
  <si>
    <t>Проспект Байдибек би, 88, Шымкент, Шымкент городская администрация</t>
  </si>
  <si>
    <t>https://instagram.com/zhanalyk_market_ | https://2gis.kz/shymkent/firm/70000001026492733 | https://2gis.kz/shymkent/branches/70000001026492732</t>
  </si>
  <si>
    <t>https://2gis.kz/shymkent/firm/70000001026492733</t>
  </si>
  <si>
    <t>SHY-0714</t>
  </si>
  <si>
    <t>Улица Сырым батыра, 10/15а, Шымкент, Шымкент городская администрация</t>
  </si>
  <si>
    <t>+77761476655</t>
  </si>
  <si>
    <t>https://instagram.com/zhanalyk_market_ | https://2gis.kz/shymkent/firm/70000001090663714 | https://2gis.kz/shymkent/branches/70000001026492732 | https://wa.me/77761476655</t>
  </si>
  <si>
    <t>https://2gis.kz/shymkent/firm/70000001090663714</t>
  </si>
  <si>
    <t>SHY-0715</t>
  </si>
  <si>
    <t>Arman qala, Туркия улица, 1280/1, Шымкент, Шымкент городская администрация</t>
  </si>
  <si>
    <t>+77756671814</t>
  </si>
  <si>
    <t>https://instagram.com/zhanalyk_market_ | https://2gis.kz/shymkent/firm/70000001082708525 | https://2gis.kz/shymkent/branches/70000001026492732 | https://wa.me/77756671814</t>
  </si>
  <si>
    <t>https://2gis.kz/shymkent/firm/70000001082708525</t>
  </si>
  <si>
    <t>SHY-0716</t>
  </si>
  <si>
    <t>Жангельдина 24</t>
  </si>
  <si>
    <t>Улица Жангельдина, 35, Шымкент, Шымкент городская администрация</t>
  </si>
  <si>
    <t>+77018353935</t>
  </si>
  <si>
    <t>https://2gis.kz/shymkent/firm/70000001091825110</t>
  </si>
  <si>
    <t>SHY-0717</t>
  </si>
  <si>
    <t>Жания</t>
  </si>
  <si>
    <t>17-й микрорайон, 1Б, Шымкент, Шымкент городская администрация</t>
  </si>
  <si>
    <t>+77770991212</t>
  </si>
  <si>
    <t>https://2gis.kz/shymkent/firm/70000001025880651</t>
  </si>
  <si>
    <t>SHY-0718</t>
  </si>
  <si>
    <t>Улица Ербола Сыпатаева, 13/3, Шымкент, Шымкент городская администрация</t>
  </si>
  <si>
    <t>https://2gis.kz/shymkent/firm/70000001026041172</t>
  </si>
  <si>
    <t>SHY-0719</t>
  </si>
  <si>
    <t>Касиет</t>
  </si>
  <si>
    <t>17-й микрорайон, 26/5, Шымкент, Шымкент городская администрация</t>
  </si>
  <si>
    <t>+77782710207</t>
  </si>
  <si>
    <t>https://2gis.kz/shymkent/firm/70000001101378305</t>
  </si>
  <si>
    <t>SHY-0720</t>
  </si>
  <si>
    <t>Возможная сеть: Керемет</t>
  </si>
  <si>
    <t>192-й квартал, 180, Шымкент, Шымкент городская администрация</t>
  </si>
  <si>
    <t>+77782585464</t>
  </si>
  <si>
    <t>https://2gis.kz/shymkent/firm/70000001080855309</t>
  </si>
  <si>
    <t>SHY-0721</t>
  </si>
  <si>
    <t>Корзинка</t>
  </si>
  <si>
    <t>Проспект Кабанбай батыра, 2, Шымкент, Шымкент городская администрация</t>
  </si>
  <si>
    <t>https://2gis.kz/shymkent/firm/70000001026084163</t>
  </si>
  <si>
    <t>SHY-0722</t>
  </si>
  <si>
    <t>Күн &amp; Түн</t>
  </si>
  <si>
    <t>ЖК Altair, микрорайон Нурсат, 18а, Шымкент, Шымкент городская администрация</t>
  </si>
  <si>
    <t>+77029595940</t>
  </si>
  <si>
    <t>https://2gis.kz/shymkent/firm/70000001114961822</t>
  </si>
  <si>
    <t>SHY-0723</t>
  </si>
  <si>
    <t>Кызыл маркет</t>
  </si>
  <si>
    <t>Улица Музтау, 122, Шымкент, Шымкент городская администрация</t>
  </si>
  <si>
    <t>+77003451999</t>
  </si>
  <si>
    <t>https://2gis.kz/shymkent/firm/70000001030434673</t>
  </si>
  <si>
    <t>SHY-0724</t>
  </si>
  <si>
    <t>Магнит</t>
  </si>
  <si>
    <t>Проспект Байдибек би, 5, Шымкент, Шымкент городская администрация</t>
  </si>
  <si>
    <t>+77471793430</t>
  </si>
  <si>
    <t>https://instagram.com/magnit.market</t>
  </si>
  <si>
    <t>https://2gis.kz/shymkent/firm/70000001065451990</t>
  </si>
  <si>
    <t>SHY-0725</t>
  </si>
  <si>
    <t>Маркет 3</t>
  </si>
  <si>
    <t>Микрорайон Асар-2, 12Б, Шымкент, Шымкент городская администрация</t>
  </si>
  <si>
    <t>+77020070393</t>
  </si>
  <si>
    <t>https://2gis.kz/shymkent/firm/70000001066247570</t>
  </si>
  <si>
    <t>SHY-0726</t>
  </si>
  <si>
    <t>Маркет №2</t>
  </si>
  <si>
    <t>Туркия улица, 9, Шымкент, Шымкент городская администрация</t>
  </si>
  <si>
    <t>+77782955454</t>
  </si>
  <si>
    <t>https://2gis.kz/shymkent/firm/70000001048529329</t>
  </si>
  <si>
    <t>SHY-0727</t>
  </si>
  <si>
    <t>Мұстафа</t>
  </si>
  <si>
    <t>Микрорайон Акжайык, 69а, Шымкент, Шымкент городская администрация</t>
  </si>
  <si>
    <t>+77081295824</t>
  </si>
  <si>
    <t>https://2gis.kz/shymkent/firm/70000001099068062</t>
  </si>
  <si>
    <t>Супермаркеты · Кофе с собой · Доставка</t>
  </si>
  <si>
    <t>SHY-0728</t>
  </si>
  <si>
    <t>Нәзік</t>
  </si>
  <si>
    <t>Улица Аль-Фараби, 210, Шымкент, Шымкент городская администрация</t>
  </si>
  <si>
    <t>+77472252953</t>
  </si>
  <si>
    <t>https://2gis.kz/shymkent/firm/70000001090690281</t>
  </si>
  <si>
    <t>SHY-0729</t>
  </si>
  <si>
    <t>Микрорайон Астана, 85, Шымкент, Шымкент городская администрация</t>
  </si>
  <si>
    <t>+77020242431</t>
  </si>
  <si>
    <t>https://2gis.kz/shymkent/firm/70000001090290249</t>
  </si>
  <si>
    <t>SHY-0730</t>
  </si>
  <si>
    <t>Нұр</t>
  </si>
  <si>
    <t>Алматинская трасса, 10/5, Шымкент, Шымкент городская администрация</t>
  </si>
  <si>
    <t>+77078570707</t>
  </si>
  <si>
    <t>https://2gis.kz/shymkent/firm/70000001028500801</t>
  </si>
  <si>
    <t>SHY-0731</t>
  </si>
  <si>
    <t>Нұрсәт 3</t>
  </si>
  <si>
    <t>Микрорайон Нурсат, 4, Шымкент, Шымкент городская администрация</t>
  </si>
  <si>
    <t>+77028913752</t>
  </si>
  <si>
    <t>https://2gis.kz/shymkent/firm/70000001092042253</t>
  </si>
  <si>
    <t>SHY-0732</t>
  </si>
  <si>
    <t>Нұртас</t>
  </si>
  <si>
    <t>Улица Акбота, 177/1, Шымкент, Шымкент городская администрация</t>
  </si>
  <si>
    <t>+77777805595</t>
  </si>
  <si>
    <t>https://2gis.kz/shymkent/firm/70000001030292199</t>
  </si>
  <si>
    <t>SHY-0733</t>
  </si>
  <si>
    <t>Алматинская трасса, 1181а, Шымкент, Шымкент городская администрация</t>
  </si>
  <si>
    <t>+77711166602</t>
  </si>
  <si>
    <t>https://2gis.kz/shymkent/firm/70000001047205021</t>
  </si>
  <si>
    <t>SHY-0734</t>
  </si>
  <si>
    <t>Улица Акбота, 15, Шымкент, Шымкент городская администрация</t>
  </si>
  <si>
    <t>https://2gis.kz/shymkent/firm/70000001045259007</t>
  </si>
  <si>
    <t>SHY-0735</t>
  </si>
  <si>
    <t>Опто Маркет</t>
  </si>
  <si>
    <t>Возможная сеть: Опто Маркет</t>
  </si>
  <si>
    <t>Проспект Момышулы, 19, Шымкент, Шымкент городская администрация</t>
  </si>
  <si>
    <t>+77785114068</t>
  </si>
  <si>
    <t>https://2gis.kz/shymkent/firm/70000001116686946</t>
  </si>
  <si>
    <t>SHY-0736</t>
  </si>
  <si>
    <t>Опто-маркет</t>
  </si>
  <si>
    <t>Возможная сеть: Опто-маркет</t>
  </si>
  <si>
    <t>ЖК Жас Отау ComfortЖ, микрорайон Нурсат 2, 19/1, Шымкент, Шымкент городская администрация</t>
  </si>
  <si>
    <t>+77017463446</t>
  </si>
  <si>
    <t>https://2gis.kz/shymkent/firm/70000001077864450</t>
  </si>
  <si>
    <t>SHY-0737</t>
  </si>
  <si>
    <t>Опто-Маркет</t>
  </si>
  <si>
    <t>Возможная сеть: Опто-Маркет</t>
  </si>
  <si>
    <t>ЖК Nauryz park, проспект Байдибек би, 116, Шымкент, Шымкент городская администрация</t>
  </si>
  <si>
    <t>+77012062315</t>
  </si>
  <si>
    <t>https://instagram.com/opto_market_kz</t>
  </si>
  <si>
    <t>https://2gis.kz/shymkent/firm/70000001100385883</t>
  </si>
  <si>
    <t>SHY-0738</t>
  </si>
  <si>
    <t>Шымкент</t>
  </si>
  <si>
    <t>+77025161956</t>
  </si>
  <si>
    <t>https://2gis.kz/shymkent/firm/70000001051056694</t>
  </si>
  <si>
    <t>SHY-0739</t>
  </si>
  <si>
    <t>Возможная сеть: Оптовый маркет</t>
  </si>
  <si>
    <t>Микрорайон Туран, 49/10а, Шымкент, Шымкент городская администрация</t>
  </si>
  <si>
    <t>+77076869798</t>
  </si>
  <si>
    <t>https://instagram.com/optovi_market</t>
  </si>
  <si>
    <t>https://2gis.kz/shymkent/firm/70000001088125885</t>
  </si>
  <si>
    <t>SHY-0740</t>
  </si>
  <si>
    <t>Ыбрайым ата улица, 47а, Шымкент, Шымкент городская администрация</t>
  </si>
  <si>
    <t>+77077652031</t>
  </si>
  <si>
    <t>https://2gis.kz/shymkent/firm/70000001044847439</t>
  </si>
  <si>
    <t>SHY-0741</t>
  </si>
  <si>
    <t>Возможная сеть: Рахат</t>
  </si>
  <si>
    <t>Улица Тилеулес, 1, Шымкент, Шымкент городская администрация</t>
  </si>
  <si>
    <t>+77027941630</t>
  </si>
  <si>
    <t>https://2gis.kz/shymkent/firm/70000001028440351</t>
  </si>
  <si>
    <t>SHY-0742</t>
  </si>
  <si>
    <t>Проспект Байдибек би, 2415а, Шымкент, Шымкент городская администрация</t>
  </si>
  <si>
    <t>+77475565589</t>
  </si>
  <si>
    <t>https://instagram.com/saiman.ltd</t>
  </si>
  <si>
    <t>https://2gis.kz/shymkent/firm/70000001104457222</t>
  </si>
  <si>
    <t>SHY-0743</t>
  </si>
  <si>
    <t>Салиха</t>
  </si>
  <si>
    <t>Улица Гагарина, 213, Шымкент, Шымкент городская администрация</t>
  </si>
  <si>
    <t>+77018353505</t>
  </si>
  <si>
    <t>https://2gis.kz/shymkent/firm/70000001044898421</t>
  </si>
  <si>
    <t>SHY-0744</t>
  </si>
  <si>
    <t>Возможная сеть: Светофор</t>
  </si>
  <si>
    <t>Улица Исмаилова, 4, Шымкент, Шымкент городская администрация</t>
  </si>
  <si>
    <t>https://2gis.kz/shymkent/firm/70000001105766997</t>
  </si>
  <si>
    <t>SHY-0745</t>
  </si>
  <si>
    <t>Сезім</t>
  </si>
  <si>
    <t>Улица Атакент, 111, Шымкент, Шымкент городская администрация</t>
  </si>
  <si>
    <t>https://2gis.kz/shymkent/firm/70000001066663374</t>
  </si>
  <si>
    <t>SHY-0746</t>
  </si>
  <si>
    <t>Сулу</t>
  </si>
  <si>
    <t>Ибрагим Ата улица, 45/5, Шымкент, Шымкент городская администрация</t>
  </si>
  <si>
    <t>https://2gis.kz/shymkent/firm/70000001089079948</t>
  </si>
  <si>
    <t>SHY-0747</t>
  </si>
  <si>
    <t>ЖК Tamerlan Residence, улица Байтерекова, 100/3, Шымкент, Шымкент городская администрация</t>
  </si>
  <si>
    <t>+77024981166</t>
  </si>
  <si>
    <t>https://instagram.com/fermmag_shymkent | https://2gis.kz/shymkent/firm/70000001095010173 | https://2gis.kz/shymkent/branches/70000001059857336 | https://wa.me/77024981166</t>
  </si>
  <si>
    <t>https://2gis.kz/shymkent/firm/70000001095010173</t>
  </si>
  <si>
    <t>SHY-0748</t>
  </si>
  <si>
    <t>Хан</t>
  </si>
  <si>
    <t>Жилмассив Нурсат, 135, Шымкент, Шымкент городская администрация</t>
  </si>
  <si>
    <t>+77477870313</t>
  </si>
  <si>
    <t>https://2gis.kz/shymkent/firm/70000001105213582</t>
  </si>
  <si>
    <t>SHY-0749</t>
  </si>
  <si>
    <t>ЖК Qulager, 189-й квартал, 25/1, Шымкент, Шымкент городская администрация</t>
  </si>
  <si>
    <t>+77751524587</t>
  </si>
  <si>
    <t>https://2gis.kz/shymkent/firm/70000001093458426</t>
  </si>
  <si>
    <t>SHY-0750</t>
  </si>
  <si>
    <t>Черемушки Market</t>
  </si>
  <si>
    <t>Улица Желтоксан, 20, Шымкент, Шымкент городская администрация</t>
  </si>
  <si>
    <t>+77011375779</t>
  </si>
  <si>
    <t>https://instagram.com/cheremushkimarket</t>
  </si>
  <si>
    <t>https://2gis.kz/shymkent/firm/70000001079742144</t>
  </si>
  <si>
    <t>SHY-0751</t>
  </si>
  <si>
    <t>Шах-Нур</t>
  </si>
  <si>
    <t>Юсуфа Сареми улица, 46, Шымкент, Шымкент городская администрация</t>
  </si>
  <si>
    <t>+77785205775</t>
  </si>
  <si>
    <t>https://2gis.kz/shymkent/firm/70000001026787270</t>
  </si>
  <si>
    <t>SHY-0752</t>
  </si>
  <si>
    <t>Ырыс Береке</t>
  </si>
  <si>
    <t>Улица 2-й Каратас, 30а, Шымкент, Шымкент городская администрация</t>
  </si>
  <si>
    <t>+77473698899</t>
  </si>
  <si>
    <t>https://2gis.kz/shymkent/firm/70000001028365073</t>
  </si>
  <si>
    <t>SHY-0753</t>
  </si>
  <si>
    <t>Элит</t>
  </si>
  <si>
    <t>Улица Рыскулова, 508/2, Шымкент, Шымкент городская администрация</t>
  </si>
  <si>
    <t>https://2gis.kz/shymkent/firm/70000001026169412</t>
  </si>
  <si>
    <t>SHY-0754</t>
  </si>
  <si>
    <t>Эфэ</t>
  </si>
  <si>
    <t>Улица Елшибек батыра, 84, Шымкент, Шымкент городская администрация</t>
  </si>
  <si>
    <t>+77072990842</t>
  </si>
  <si>
    <t>https://instagram.com/efe_market_11</t>
  </si>
  <si>
    <t>https://2gis.kz/shymkent/firm/70000001026093371</t>
  </si>
  <si>
    <t>SHY-0755</t>
  </si>
  <si>
    <t>Aisultan</t>
  </si>
  <si>
    <t>ЖК Aman; Aman жилой комплекс, микрорайон Нуртас, 4377/3, Шымкент, Шымкент городская администрация</t>
  </si>
  <si>
    <t>+77785742080</t>
  </si>
  <si>
    <t>https://2gis.kz/shymkent/firm/70000001091361558</t>
  </si>
  <si>
    <t>SHY-0756</t>
  </si>
  <si>
    <t>Akku</t>
  </si>
  <si>
    <t>Проспект Нурсултана Назарбаева, 22, Шымкент, Шымкент городская администрация</t>
  </si>
  <si>
    <t>+77059741810</t>
  </si>
  <si>
    <t>https://instagram.com/akkusupermarketi</t>
  </si>
  <si>
    <t>https://2gis.kz/shymkent/firm/70000001040303309</t>
  </si>
  <si>
    <t>SHY-0757</t>
  </si>
  <si>
    <t>Alash 39</t>
  </si>
  <si>
    <t>Алматинская трасса, 237/13, Шымкент, Шымкент городская администрация</t>
  </si>
  <si>
    <t>+77781935050</t>
  </si>
  <si>
    <t>https://instagram.com/alash_39</t>
  </si>
  <si>
    <t>https://2gis.kz/shymkent/firm/70000001090596441</t>
  </si>
  <si>
    <t>SHY-0758</t>
  </si>
  <si>
    <t>Alban</t>
  </si>
  <si>
    <t>Улица Керуенсарай, 1, Шымкент, Шымкент городская администрация</t>
  </si>
  <si>
    <t>+77477022085</t>
  </si>
  <si>
    <t>https://2gis.kz/shymkent/firm/70000001084141243</t>
  </si>
  <si>
    <t>SHY-0759</t>
  </si>
  <si>
    <t>Alimart</t>
  </si>
  <si>
    <t>Шымкент, микрорайон Астана</t>
  </si>
  <si>
    <t>+77085282968</t>
  </si>
  <si>
    <t>https://2gis.kz/shymkent/firm/70000001090290241</t>
  </si>
  <si>
    <t>SHY-0760</t>
  </si>
  <si>
    <t>Altyn Qanat</t>
  </si>
  <si>
    <t>ЖК Capital City, проспект Байдибек би, 127/7, Шымкент, Шымкент городская администрация</t>
  </si>
  <si>
    <t>+77783428300</t>
  </si>
  <si>
    <t>https://t.me/+77783428300 | https://instagram.com/altynqanat_2025</t>
  </si>
  <si>
    <t>https://2gis.kz/shymkent/firm/70000001102540794</t>
  </si>
  <si>
    <t>SHY-0761</t>
  </si>
  <si>
    <t>Ananasa</t>
  </si>
  <si>
    <t>Микрорайон Асар-2, 391/22, Шымкент, Шымкент городская администрация</t>
  </si>
  <si>
    <t>https://2gis.kz/shymkent/firm/70000001112390514</t>
  </si>
  <si>
    <t>SHY-0762</t>
  </si>
  <si>
    <t>Arzan</t>
  </si>
  <si>
    <t>ЖК Arman Qala.Lite 1-2, Шымкент</t>
  </si>
  <si>
    <t>+77750600024</t>
  </si>
  <si>
    <t>https://2gis.kz/shymkent/firm/70000001115604060</t>
  </si>
  <si>
    <t>SHY-0763</t>
  </si>
  <si>
    <t>Arzan маркет</t>
  </si>
  <si>
    <t>Улица Аксункар, 4, Шымкент, Шымкент городская администрация</t>
  </si>
  <si>
    <t>+77055565944</t>
  </si>
  <si>
    <t>https://2gis.kz/shymkent/firm/70000001099298473</t>
  </si>
  <si>
    <t>SHY-0764</t>
  </si>
  <si>
    <t>Arzan market</t>
  </si>
  <si>
    <t>Возможная сеть: Arzan market</t>
  </si>
  <si>
    <t>Микрорайон Акжайык, 69/10, Шымкент, Шымкент городская администрация</t>
  </si>
  <si>
    <t>+77026564307</t>
  </si>
  <si>
    <t>https://2gis.kz/shymkent/firm/70000001027868119</t>
  </si>
  <si>
    <t>SHY-0765</t>
  </si>
  <si>
    <t>Arzan Market</t>
  </si>
  <si>
    <t>Возможная сеть: Arzan Market</t>
  </si>
  <si>
    <t>+77053484457</t>
  </si>
  <si>
    <t>https://2gis.kz/shymkent/firm/70000001114007689</t>
  </si>
  <si>
    <t>SHY-0766</t>
  </si>
  <si>
    <t>Bagym</t>
  </si>
  <si>
    <t>17-й микрорайон, 12, Шымкент, Шымкент городская администрация</t>
  </si>
  <si>
    <t>https://2gis.kz/shymkent/firm/70000001025879303</t>
  </si>
  <si>
    <t>SHY-0767</t>
  </si>
  <si>
    <t>Baiken 3</t>
  </si>
  <si>
    <t>Туркия улица, 25, Шымкент, Шымкент городская администрация</t>
  </si>
  <si>
    <t>+77056680177</t>
  </si>
  <si>
    <t>https://instagram.com/baiken_optim_market</t>
  </si>
  <si>
    <t>https://2gis.kz/shymkent/firm/70000001092846439</t>
  </si>
  <si>
    <t>SHY-0768</t>
  </si>
  <si>
    <t>Baqdaulet</t>
  </si>
  <si>
    <t>Улица Ерназарова, 60, Шымкент, Шымкент городская администрация</t>
  </si>
  <si>
    <t>https://2gis.kz/shymkent/firm/70000001027723326</t>
  </si>
  <si>
    <t>SHY-0769</t>
  </si>
  <si>
    <t>Baqyt Market</t>
  </si>
  <si>
    <t>Улица Утегенова, 23/2, Шымкент, Шымкент городская администрация</t>
  </si>
  <si>
    <t>+77082304090</t>
  </si>
  <si>
    <t>https://instagram.com/baqyt_market</t>
  </si>
  <si>
    <t>https://2gis.kz/shymkent/firm/70000001109947505</t>
  </si>
  <si>
    <t>SHY-0770</t>
  </si>
  <si>
    <t>City market</t>
  </si>
  <si>
    <t>Тамерлановское шоссе, 121, Шымкент, Шымкент городская администрация</t>
  </si>
  <si>
    <t>+77756644115</t>
  </si>
  <si>
    <t>https://2gis.kz/shymkent/firm/70000001060055861</t>
  </si>
  <si>
    <t>SHY-0771</t>
  </si>
  <si>
    <t>City mart</t>
  </si>
  <si>
    <t>Улица Назарбекова, 29/2 к2, Шымкент, Шымкент городская администрация</t>
  </si>
  <si>
    <t>+77787779491</t>
  </si>
  <si>
    <t>https://2gis.kz/shymkent/firm/70000001105766882</t>
  </si>
  <si>
    <t>SHY-0772</t>
  </si>
  <si>
    <t>Dala market</t>
  </si>
  <si>
    <t>Улица Капал батыра, 54/4, Шымкент, Шымкент городская администрация</t>
  </si>
  <si>
    <t>https://2gis.kz/shymkent/firm/70000001092014600</t>
  </si>
  <si>
    <t>SHY-0773</t>
  </si>
  <si>
    <t>Daulet-Ata</t>
  </si>
  <si>
    <t>Улица Кошерова, 3/5, Шымкент, Шымкент городская администрация</t>
  </si>
  <si>
    <t>+77472269906</t>
  </si>
  <si>
    <t>https://2gis.kz/shymkent/firm/70000001090823321</t>
  </si>
  <si>
    <t>SHY-0774</t>
  </si>
  <si>
    <t>Den&amp;Noch</t>
  </si>
  <si>
    <t>Амира Темира улица, 237/7, Шымкент, Шымкент городская администрация</t>
  </si>
  <si>
    <t>+77074444070</t>
  </si>
  <si>
    <t>https://2gis.kz/shymkent/firm/70000001086296142</t>
  </si>
  <si>
    <t>SHY-0775</t>
  </si>
  <si>
    <t>Dos star</t>
  </si>
  <si>
    <t>Улица Акшуак, 108а, Шымкент, Шымкент городская администрация</t>
  </si>
  <si>
    <t>+77788370480</t>
  </si>
  <si>
    <t>https://instagram.com/dosstarmarket_shymkent</t>
  </si>
  <si>
    <t>https://2gis.kz/shymkent/firm/70000001110537635</t>
  </si>
  <si>
    <t>SHY-0776</t>
  </si>
  <si>
    <t>EL mart</t>
  </si>
  <si>
    <t>Улица Аль-Фараби, 168, Шымкент, Шымкент городская администрация</t>
  </si>
  <si>
    <t>+77013728582</t>
  </si>
  <si>
    <t>https://instagram.com/el_mart.shymkent | https://2gis.kz/shymkent/firm/70000001105638786 | https://2gis.kz/shymkent/branches/70000001026015590 | https://wa.me/77013728582</t>
  </si>
  <si>
    <t>https://2gis.kz/shymkent/firm/70000001105638786</t>
  </si>
  <si>
    <t>SHY-0777</t>
  </si>
  <si>
    <t>Улица Гагарина, 137, Шымкент, Шымкент городская администрация</t>
  </si>
  <si>
    <t>+77027503933</t>
  </si>
  <si>
    <t>https://instagram.com/el_mart.shymkent | https://2gis.kz/shymkent/firm/70000001026015591 | https://2gis.kz/shymkent/branches/70000001026015590 | https://wa.me/77027503933</t>
  </si>
  <si>
    <t>https://2gis.kz/shymkent/firm/70000001026015591</t>
  </si>
  <si>
    <t>SHY-0778</t>
  </si>
  <si>
    <t>Enzo</t>
  </si>
  <si>
    <t>Улица Еримбетова, 27/5, Шымкент, Шымкент городская администрация</t>
  </si>
  <si>
    <t>https://instagram.com/enzo.supermarket | https://2gis.kz/shymkent/firm/70000001105526078 | https://2gis.kz/shymkent/branches/70000001097323526</t>
  </si>
  <si>
    <t>https://2gis.kz/shymkent/firm/70000001105526078</t>
  </si>
  <si>
    <t>SHY-0779</t>
  </si>
  <si>
    <t>Алматинская трасса, 13а, Шымкент, Шымкент городская администрация</t>
  </si>
  <si>
    <t>http://taplink.cc/fmart.kz?fbclid=PAZXh0bgNhZW0CMTEAAac0jiNxLyGh3bOcVcZL8EKz2Ey5MdOjGTi_VM1CGKVrVdPXytihzWz_XDun4w_aem_ak5dzaaUSeNN6rFABVmrug | https://instagram.com/fmart.kz | https://t.me/fmart_kz | https://2gis.kz/shymkent/firm/70000001110467831 | https://2gis.kz/shymkent/branches/70000001075900534 | https://facebook.com/fmarrt.kz | https://wa.me/77777670011</t>
  </si>
  <si>
    <t>https://2gis.kz/shymkent/firm/70000001110467831</t>
  </si>
  <si>
    <t>SHY-0780</t>
  </si>
  <si>
    <t>Flybuy</t>
  </si>
  <si>
    <t>Улица Аргынбекова, 29/4 к3, Шымкент, Шымкент городская администрация</t>
  </si>
  <si>
    <t>https://2gis.kz/shymkent/firm/70000001079923264 | https://2gis.kz/shymkent/branches/70000001075174292</t>
  </si>
  <si>
    <t>https://2gis.kz/shymkent/firm/70000001079923264</t>
  </si>
  <si>
    <t>Супермаркеты · Кофе с собой | listed_operating_with_schedule</t>
  </si>
  <si>
    <t>SHY-0781</t>
  </si>
  <si>
    <t>Gastrohub</t>
  </si>
  <si>
    <t>Улица Дулати, 201, Шымкент, Шымкент городская администрация</t>
  </si>
  <si>
    <t>http://gastrohub.kz | https://instagram.com/gastrohub_kz</t>
  </si>
  <si>
    <t>https://2gis.kz/shymkent/firm/70000001105596044</t>
  </si>
  <si>
    <t>SHY-0782</t>
  </si>
  <si>
    <t>1-й проезд Ермексу, 2, Шымкент, Шымкент городская администрация</t>
  </si>
  <si>
    <t>http://gramad.kz | https://instagram.com/gramad.kz | https://www.gramad.kz/ | https://2gis.kz/shymkent/firm/70000001060058297 | https://2gis.kz/shymkent/branches/70000001035716168 | https://wa.me/77087776129</t>
  </si>
  <si>
    <t>https://2gis.kz/shymkent/firm/70000001060058297</t>
  </si>
  <si>
    <t>SHY-0783</t>
  </si>
  <si>
    <t>192-й квартал, 389, Шымкент, Шымкент городская администрация</t>
  </si>
  <si>
    <t>http://gramad.kz | https://instagram.com/gramad.kz | https://www.gramad.kz/ | https://2gis.kz/shymkent/firm/70000001065425156 | https://2gis.kz/shymkent/branches/70000001035716168 | https://wa.me/77087776129</t>
  </si>
  <si>
    <t>https://2gis.kz/shymkent/firm/70000001065425156</t>
  </si>
  <si>
    <t>SHY-0784</t>
  </si>
  <si>
    <t>ЖК New city; Жилой комплекс New city, проспект Байдибек би, 9/8, Шымкент, Шымкент городская администрация</t>
  </si>
  <si>
    <t>https://glovoapp.com/ru/kz/shymkent | https://instagram.com/gramad.kz | https://www.gramad.kz/ | https://2gis.kz/shymkent/firm/70000001067413538 | https://2gis.kz/shymkent/branches/70000001035716168 | http://gramad.kz | https://wa.me/77087776129</t>
  </si>
  <si>
    <t>https://2gis.kz/shymkent/firm/70000001067413538</t>
  </si>
  <si>
    <t>SHY-0785</t>
  </si>
  <si>
    <t>ЖК Tumar apartments, улица Сырым батыра, 2, Шымкент, Шымкент городская администрация</t>
  </si>
  <si>
    <t>http://gramad.kz | https://instagram.com/gramad.kz | https://www.gramad.kz/ | https://2gis.kz/shymkent/firm/70000001080939636 | https://2gis.kz/shymkent/branches/70000001035716168 | https://wa.me/77087776129</t>
  </si>
  <si>
    <t>https://2gis.kz/shymkent/firm/70000001080939636</t>
  </si>
  <si>
    <t>SHY-0786</t>
  </si>
  <si>
    <t>Микрорайон Туран, 2204, Шымкент, Шымкент городская администрация</t>
  </si>
  <si>
    <t>http://gramad.kz | https://instagram.com/gramad.kz | https://www.gramad.kz/ | https://2gis.kz/shymkent/firm/70000001112742070 | https://2gis.kz/shymkent/branches/70000001035716168 | https://wa.me/77087776129</t>
  </si>
  <si>
    <t>https://2gis.kz/shymkent/firm/70000001112742070</t>
  </si>
  <si>
    <t>SHY-0787</t>
  </si>
  <si>
    <t>Микрорайон Туран, 4а, Шымкент, Шымкент городская администрация</t>
  </si>
  <si>
    <t>https://glovoapp.com/ru/kz/shymkent | https://instagram.com/gramad.kz | https://www.gramad.kz/ | https://2gis.kz/shymkent/firm/70000001081847261 | https://2gis.kz/shymkent/branches/70000001035716168 | http://gramad.kz | https://wa.me/77087776129</t>
  </si>
  <si>
    <t>https://2gis.kz/shymkent/firm/70000001081847261</t>
  </si>
  <si>
    <t>SHY-0788</t>
  </si>
  <si>
    <t>Проспект Республики, 28, Шымкент, Шымкент городская администрация</t>
  </si>
  <si>
    <t>http://gramad.kz | https://instagram.com/gramad.kz | https://www.gramad.kz/ | https://2gis.kz/shymkent/firm/70000001115676604 | https://2gis.kz/shymkent/branches/70000001035716168 | https://wa.me/77087776129</t>
  </si>
  <si>
    <t>https://2gis.kz/shymkent/firm/70000001115676604</t>
  </si>
  <si>
    <t>SHY-0789</t>
  </si>
  <si>
    <t>Тамерлановское шоссе, 19/17, Шымкент, Шымкент городская администрация</t>
  </si>
  <si>
    <t>http://gramad.kz | https://instagram.com/gramad.kz | https://www.gramad.kz/ | https://2gis.kz/shymkent/firm/70000001101924227 | https://2gis.kz/shymkent/branches/70000001035716168 | https://wa.me/77087776129</t>
  </si>
  <si>
    <t>https://2gis.kz/shymkent/firm/70000001101924227</t>
  </si>
  <si>
    <t>SHY-0790</t>
  </si>
  <si>
    <t>ТД "Нәзік" ; Назык торговый дом, улица Аль-Фараби, 1/5, Шымкент, Шымкент городская администрация</t>
  </si>
  <si>
    <t>https://glovoapp.com/ru/kz/shymkent | https://instagram.com/gramad.kz | https://www.gramad.kz/ | https://2gis.kz/shymkent/firm/70000001058927348 | https://2gis.kz/shymkent/branches/70000001035716168 | http://gramad.kz | https://wa.me/77087776129</t>
  </si>
  <si>
    <t>https://2gis.kz/shymkent/firm/70000001058927348</t>
  </si>
  <si>
    <t>SHY-0791</t>
  </si>
  <si>
    <t>ТД Карима, улица Кулагер, 4220/3, Шымкент, Шымкент городская администрация</t>
  </si>
  <si>
    <t>https://glovoapp.com/ru/kz/shymkent | https://instagram.com/gramad.kz | https://www.gramad.kz/ | https://2gis.kz/shymkent/firm/70000001084099777 | https://2gis.kz/shymkent/branches/70000001035716168 | http://gramad.kz | https://wa.me/77087776129</t>
  </si>
  <si>
    <t>https://2gis.kz/shymkent/firm/70000001084099777</t>
  </si>
  <si>
    <t>SHY-0792</t>
  </si>
  <si>
    <t>Туркия улица, 32, Шымкент, Шымкент городская администрация</t>
  </si>
  <si>
    <t>+77777888899, +77076017683</t>
  </si>
  <si>
    <t>http://gramad.kz | https://instagram.com/gramad.kz | https://www.gramad.kz/ | https://2gis.kz/shymkent/firm/70000001066435539 | https://2gis.kz/shymkent/branches/70000001035716168 | https://wa.me/77087776129</t>
  </si>
  <si>
    <t>https://2gis.kz/shymkent/firm/70000001066435539</t>
  </si>
  <si>
    <t>SHY-0793</t>
  </si>
  <si>
    <t>Улица Аль-Фараби, 2/5, Шымкент, Шымкент городская администрация</t>
  </si>
  <si>
    <t>https://glovoapp.com/ru/kz/shymkent | https://instagram.com/gramad.kz | https://www.gramad.kz/ | https://2gis.kz/shymkent/firm/70000001066006500 | https://2gis.kz/shymkent/branches/70000001035716168 | http://gramad.kz | https://wa.me/77087776129</t>
  </si>
  <si>
    <t>https://2gis.kz/shymkent/firm/70000001066006500</t>
  </si>
  <si>
    <t>SHY-0794</t>
  </si>
  <si>
    <t>Улица Аскарова, 34, Шымкент, Шымкент городская администрация</t>
  </si>
  <si>
    <t>https://glovoapp.com/ru/kz/shymkent | https://instagram.com/gramad.kz | https://www.gramad.kz/ | https://2gis.kz/shymkent/firm/70000001067230050 | https://2gis.kz/shymkent/branches/70000001035716168 | http://gramad.kz | https://wa.me/77087776129</t>
  </si>
  <si>
    <t>https://2gis.kz/shymkent/firm/70000001067230050</t>
  </si>
  <si>
    <t>SHY-0795</t>
  </si>
  <si>
    <t>Улица Сырым батыра, 1/122, Шымкент, Шымкент городская администрация</t>
  </si>
  <si>
    <t>http://gramad.kz | https://instagram.com/gramad.kz | https://www.gramad.kz/ | https://2gis.kz/shymkent/firm/70000001093683280 | https://2gis.kz/shymkent/branches/70000001035716168 | https://wa.me/77087776129</t>
  </si>
  <si>
    <t>https://2gis.kz/shymkent/firm/70000001093683280</t>
  </si>
  <si>
    <t>SHY-0796</t>
  </si>
  <si>
    <t>Улица Сырым батыра, 124/1, Шымкент, Шымкент городская администрация</t>
  </si>
  <si>
    <t>http://gramad.kz | https://instagram.com/gramad.kz | https://www.gramad.kz/ | https://2gis.kz/shymkent/firm/70000001065650751 | https://2gis.kz/shymkent/branches/70000001035716168 | https://wa.me/77087776129</t>
  </si>
  <si>
    <t>https://2gis.kz/shymkent/firm/70000001065650751</t>
  </si>
  <si>
    <t>SHY-0797</t>
  </si>
  <si>
    <t>Улица Уалиханова, 213/13, Шымкент, Шымкент городская администрация</t>
  </si>
  <si>
    <t>http://gramad.kz | https://instagram.com/gramad.kz | https://www.gramad.kz/ | https://2gis.kz/shymkent/firm/70000001083681007 | https://2gis.kz/shymkent/branches/70000001035716168 | https://wa.me/77087776129</t>
  </si>
  <si>
    <t>https://2gis.kz/shymkent/firm/70000001083681007</t>
  </si>
  <si>
    <t>SHY-0798</t>
  </si>
  <si>
    <t>GraMaD бақша</t>
  </si>
  <si>
    <t>Микрорайон Нурсат, 164/2, Шымкент, Шымкент городская администрация</t>
  </si>
  <si>
    <t>http://gramad.kz | https://instagram.com/gramad.kz | https://www.gramad.kz/ | https://2gis.kz/shymkent/firm/70000001095644862 | https://2gis.kz/shymkent/branches/70000001035716168 | https://wa.me/77087776129</t>
  </si>
  <si>
    <t>https://2gis.kz/shymkent/firm/70000001095644862</t>
  </si>
  <si>
    <t>SHY-0799</t>
  </si>
  <si>
    <t>Grand dostyq</t>
  </si>
  <si>
    <t>Ак босага улица, 37, Шымкент, Шымкент городская администрация</t>
  </si>
  <si>
    <t>+77476513500</t>
  </si>
  <si>
    <t>https://instagram.com/grand_dostyq</t>
  </si>
  <si>
    <t>https://2gis.kz/shymkent/firm/70000001089527480</t>
  </si>
  <si>
    <t>SHY-0800</t>
  </si>
  <si>
    <t>Grand Turan</t>
  </si>
  <si>
    <t>ЖК Jas Otau Turan, микрорайон Туран, 3401/20, Шымкент, Шымкент городская администрация</t>
  </si>
  <si>
    <t>+77079550001</t>
  </si>
  <si>
    <t>https://2gis.kz/shymkent/firm/70000001103320837</t>
  </si>
  <si>
    <t>SHY-0801</t>
  </si>
  <si>
    <t>Gross</t>
  </si>
  <si>
    <t>Алматинская трасса, 13/5Б, Шымкент, Шымкент городская администрация</t>
  </si>
  <si>
    <t>+77759578757</t>
  </si>
  <si>
    <t>https://2gis.kz/shymkent/firm/70000001060650245</t>
  </si>
  <si>
    <t>SHY-0802</t>
  </si>
  <si>
    <t>Jalyn</t>
  </si>
  <si>
    <t>Проспект Кадыргали Жалаири, 128, Шымкент, Шымкент городская администрация</t>
  </si>
  <si>
    <t>+77756873434</t>
  </si>
  <si>
    <t>https://t.me/+77756873636 | https://instagram.com/jalyn_shym</t>
  </si>
  <si>
    <t>https://2gis.kz/shymkent/firm/70000001099304947</t>
  </si>
  <si>
    <t>SHY-0803</t>
  </si>
  <si>
    <t>Janalyq</t>
  </si>
  <si>
    <t>Улица Аманкулова, 59/1, Шымкент, Шымкент городская администрация</t>
  </si>
  <si>
    <t>+77783743334</t>
  </si>
  <si>
    <t>https://2gis.kz/shymkent/firm/70000001055780612</t>
  </si>
  <si>
    <t>SHY-0804</t>
  </si>
  <si>
    <t>Muhammad</t>
  </si>
  <si>
    <t>Улица Сурикова, 3а, Шымкент, Шымкент городская администрация</t>
  </si>
  <si>
    <t>+77013363535</t>
  </si>
  <si>
    <t>https://instagram.com/Muhammad_market_shymkent</t>
  </si>
  <si>
    <t>https://2gis.kz/shymkent/firm/70000001101044755</t>
  </si>
  <si>
    <t>SHY-0805</t>
  </si>
  <si>
    <t>Nigina Market</t>
  </si>
  <si>
    <t>Жумабека Ташенова улица, 54/1, Шымкент, Шымкент городская администрация</t>
  </si>
  <si>
    <t>+77718864551</t>
  </si>
  <si>
    <t>https://2gis.kz/shymkent/firm/70000001062151645</t>
  </si>
  <si>
    <t>SHY-0806</t>
  </si>
  <si>
    <t>Ns Mart</t>
  </si>
  <si>
    <t>8-й микрорайон, 13/1, Шымкент, Шымкент городская администрация</t>
  </si>
  <si>
    <t>+77714037232</t>
  </si>
  <si>
    <t>https://2gis.kz/shymkent/firm/70000001099925754</t>
  </si>
  <si>
    <t>SHY-0807</t>
  </si>
  <si>
    <t>Nur market</t>
  </si>
  <si>
    <t>Улица Патеева, 64/1, Шымкент, Шымкент городская администрация</t>
  </si>
  <si>
    <t>+77023221515</t>
  </si>
  <si>
    <t>https://2gis.kz/shymkent/firm/70000001109533009</t>
  </si>
  <si>
    <t>SHY-0808</t>
  </si>
  <si>
    <t>Nur Tabys</t>
  </si>
  <si>
    <t>Улица Айдын, 130, Шымкент, Шымкент городская администрация</t>
  </si>
  <si>
    <t>https://2gis.kz/shymkent/firm/70000001026997950</t>
  </si>
  <si>
    <t>SHY-0809</t>
  </si>
  <si>
    <t>Nurai</t>
  </si>
  <si>
    <t>Алматинский проезд, 2/1, Шымкент, Шымкент городская администрация</t>
  </si>
  <si>
    <t>+77718439393</t>
  </si>
  <si>
    <t>https://2gis.kz/shymkent/firm/70000001110518240</t>
  </si>
  <si>
    <t>SHY-0810</t>
  </si>
  <si>
    <t>Nursat</t>
  </si>
  <si>
    <t>Микрорайон Нурсат, 31, Шымкент, Шымкент городская администрация</t>
  </si>
  <si>
    <t>https://2gis.kz/shymkent/firm/70000001026527350 | https://2gis.kz/shymkent/branches/70000001027857256</t>
  </si>
  <si>
    <t>https://2gis.kz/shymkent/firm/70000001026527350</t>
  </si>
  <si>
    <t>SHY-0811</t>
  </si>
  <si>
    <t>Oktyabr</t>
  </si>
  <si>
    <t>Улица Елебекова, 113а, Шымкент, Шымкент городская администрация</t>
  </si>
  <si>
    <t>+77002624444</t>
  </si>
  <si>
    <t>https://2gis.kz/shymkent/firm/70000001101595617</t>
  </si>
  <si>
    <t>SHY-0812</t>
  </si>
  <si>
    <t>Olzha</t>
  </si>
  <si>
    <t>Проспект Нурсултана Назарбаева, 49, Шымкент, Шымкент городская администрация</t>
  </si>
  <si>
    <t>https://instagram.com/_olzha.market_</t>
  </si>
  <si>
    <t>https://2gis.kz/shymkent/firm/70000001033148658</t>
  </si>
  <si>
    <t>SHY-0813</t>
  </si>
  <si>
    <t>Panda</t>
  </si>
  <si>
    <t>Улица Маметовой, 24/4, Шымкент, Шымкент городская администрация</t>
  </si>
  <si>
    <t>+77018775252</t>
  </si>
  <si>
    <t>https://2gis.kz/shymkent/firm/70000001104021624</t>
  </si>
  <si>
    <t>SHY-0814</t>
  </si>
  <si>
    <t>PROmart</t>
  </si>
  <si>
    <t>ЖК Baqyt;Baqyt жилой комплекс, микрорайон Нурсат, 172Б, Шымкент, Шымкент городская администрация</t>
  </si>
  <si>
    <t>https://2gis.kz/shymkent/firm/70000001101691066 | https://2gis.kz/shymkent/branches/70000001094200893</t>
  </si>
  <si>
    <t>https://2gis.kz/shymkent/firm/70000001101691066</t>
  </si>
  <si>
    <t>SHY-0815</t>
  </si>
  <si>
    <t>Улица Жангельдина, 16, Шымкент, Шымкент городская администрация</t>
  </si>
  <si>
    <t>https://2gis.kz/shymkent/firm/70000001094200894 | https://2gis.kz/shymkent/branches/70000001094200893</t>
  </si>
  <si>
    <t>https://2gis.kz/shymkent/firm/70000001094200894</t>
  </si>
  <si>
    <t>SHY-0816</t>
  </si>
  <si>
    <t>RozMart</t>
  </si>
  <si>
    <t>Спортивный микрорайон, 14, Шымкент, Шымкент городская администрация</t>
  </si>
  <si>
    <t>+77064099566</t>
  </si>
  <si>
    <t>https://2gis.kz/shymkent/firm/70000001116104553</t>
  </si>
  <si>
    <t>SHY-0817</t>
  </si>
  <si>
    <t>Seven Market</t>
  </si>
  <si>
    <t>ЖК Atamura Bolashaq, проспект Байдибек би, 113/4, Шымкент, Шымкент городская администрация</t>
  </si>
  <si>
    <t>+77754481207</t>
  </si>
  <si>
    <t>https://instagram.com/seven.market_</t>
  </si>
  <si>
    <t>https://2gis.kz/shymkent/firm/70000001113813501</t>
  </si>
  <si>
    <t>SHY-0818</t>
  </si>
  <si>
    <t>Shyngys</t>
  </si>
  <si>
    <t>Салкам Жангир улица, 83, Шымкент, Шымкент городская администрация</t>
  </si>
  <si>
    <t>+77053454515</t>
  </si>
  <si>
    <t>https://2gis.kz/shymkent/firm/70000001102686005</t>
  </si>
  <si>
    <t>SHY-0819</t>
  </si>
  <si>
    <t>Sm-market</t>
  </si>
  <si>
    <t>Улица Еримбетова, 28/3, Шымкент, Шымкент городская администрация</t>
  </si>
  <si>
    <t>+77057536123</t>
  </si>
  <si>
    <t>https://2gis.kz/shymkent/firm/70000001057692292</t>
  </si>
  <si>
    <t>SHY-0820</t>
  </si>
  <si>
    <t>Smol mart</t>
  </si>
  <si>
    <t>+77787897923</t>
  </si>
  <si>
    <t>https://2gis.kz/shymkent/firm/70000001102010223</t>
  </si>
  <si>
    <t>SHY-0821</t>
  </si>
  <si>
    <t>Sputnik</t>
  </si>
  <si>
    <t>Улица Байтурсынова, 5, Шымкент, Шымкент городская администрация</t>
  </si>
  <si>
    <t>+77711878952</t>
  </si>
  <si>
    <t>https://instagram.com/sputnik_shym</t>
  </si>
  <si>
    <t>https://2gis.kz/shymkent/firm/70000001078898981</t>
  </si>
  <si>
    <t>SHY-0822</t>
  </si>
  <si>
    <t>Stolichnaya</t>
  </si>
  <si>
    <t>Улица Гагарина, 67а, Шымкент, Шымкент городская администрация</t>
  </si>
  <si>
    <t>+77066524023</t>
  </si>
  <si>
    <t>https://2gis.kz/shymkent/firm/70000001110485690</t>
  </si>
  <si>
    <t>SHY-0823</t>
  </si>
  <si>
    <t>Tabys</t>
  </si>
  <si>
    <t>Улица Аль-Фараби, 133, Шымкент, Шымкент городская администрация</t>
  </si>
  <si>
    <t>+77072557777</t>
  </si>
  <si>
    <t>https://2gis.kz/shymkent/firm/70000001086838594</t>
  </si>
  <si>
    <t>SHY-0824</t>
  </si>
  <si>
    <t>Tez Market</t>
  </si>
  <si>
    <t>Улица Иляева, 7, Шымкент, Шымкент городская администрация</t>
  </si>
  <si>
    <t>+77779915700</t>
  </si>
  <si>
    <t>https://2gis.kz/shymkent/firm/70000001028764955</t>
  </si>
  <si>
    <t>SHY-0825</t>
  </si>
  <si>
    <t>Tole</t>
  </si>
  <si>
    <t>Тамерлановское шоссе, 1/29, Шымкент, Шымкент городская администрация</t>
  </si>
  <si>
    <t>+77751678182</t>
  </si>
  <si>
    <t>https://2gis.kz/shymkent/firm/70000001102833677</t>
  </si>
  <si>
    <t>SHY-0826</t>
  </si>
  <si>
    <t>Triple A</t>
  </si>
  <si>
    <t>Улица Керуенсарай, 188, Шымкент, Шымкент городская администрация</t>
  </si>
  <si>
    <t>https://2gis.kz/shymkent/firm/70000001089673776</t>
  </si>
  <si>
    <t>SHY-0827</t>
  </si>
  <si>
    <t>Возможная сеть: Turan</t>
  </si>
  <si>
    <t>192-й квартал, 359/18, Шымкент, Шымкент городская администрация</t>
  </si>
  <si>
    <t>+77053688607</t>
  </si>
  <si>
    <t>https://2gis.kz/shymkent/firm/70000001035042715</t>
  </si>
  <si>
    <t>SHY-0828</t>
  </si>
  <si>
    <t>Улица Исраилова, 7/7стр, Шымкент, Шымкент городская администрация</t>
  </si>
  <si>
    <t>https://instagram.com/turan_shymkent_ | https://2gis.kz/shymkent/firm/70000001080071284 | https://2gis.kz/shymkent/branches/70000001067121330 | https://wa.me/77759733675</t>
  </si>
  <si>
    <t>https://2gis.kz/shymkent/firm/70000001080071284</t>
  </si>
  <si>
    <t>SHY-0829</t>
  </si>
  <si>
    <t>Urbibi</t>
  </si>
  <si>
    <t>Тамерлановское шоссе, 21, Шымкент, Шымкент городская администрация</t>
  </si>
  <si>
    <t>+77789452170</t>
  </si>
  <si>
    <t>https://2gis.kz/shymkent/firm/70000001025991426</t>
  </si>
  <si>
    <t>SHY-0830</t>
  </si>
  <si>
    <t>Шымкент, микрорайон Туран, 27в</t>
  </si>
  <si>
    <t>+77476290015</t>
  </si>
  <si>
    <t>https://2gis.kz/shymkent/firm/70000001100579025 | https://2gis.kz/shymkent/branches/70000001026492732 | https://instagram.com/zhanalyk_market_ | https://instagram.com/zhanalyk_supermarket | https://wa.me/77476290015</t>
  </si>
  <si>
    <t>https://2gis.kz/shymkent/firm/70000001100579025</t>
  </si>
  <si>
    <t>2GIS / сеть</t>
  </si>
  <si>
    <t>SHY-0831</t>
  </si>
  <si>
    <t>Шымкент, Салкам Жангир улица, 63</t>
  </si>
  <si>
    <t>https://2gis.kz/shymkent/firm/70000001054345103 | https://2gis.kz/shymkent/branches/70000001026492732 | https://instagram.com/zhanalyk_market_</t>
  </si>
  <si>
    <t>https://2gis.kz/shymkent/firm/70000001054345103</t>
  </si>
  <si>
    <t>SHY-0832</t>
  </si>
  <si>
    <t>Шымкент, улица Аргынбекова, 249/1</t>
  </si>
  <si>
    <t>+77760554884</t>
  </si>
  <si>
    <t>https://2gis.kz/shymkent/firm/70000001090766675 | https://2gis.kz/shymkent/branches/70000001026492732 | https://instagram.com/zhanalyk_market_</t>
  </si>
  <si>
    <t>https://2gis.kz/shymkent/firm/70000001090766675</t>
  </si>
  <si>
    <t>SHY-0833</t>
  </si>
  <si>
    <t>Шымкент, улица Аргынбекова, 71/1</t>
  </si>
  <si>
    <t>+77766352569</t>
  </si>
  <si>
    <t>https://2gis.kz/shymkent/firm/70000001069376521 | https://2gis.kz/shymkent/branches/70000001026492732 | https://instagram.com/zhanalyk_market_ | https://wa.me/77766352569</t>
  </si>
  <si>
    <t>https://2gis.kz/shymkent/firm/70000001069376521</t>
  </si>
  <si>
    <t>SHY-0834</t>
  </si>
  <si>
    <t>Шымкент, Уста-Мухаммеда улица, 1/2</t>
  </si>
  <si>
    <t>https://2gis.kz/shymkent/firm/70000001082010433 | https://2gis.kz/shymkent/branches/70000001026492732 | https://instagram.com/zhanalyk_market_</t>
  </si>
  <si>
    <t>https://2gis.kz/shymkent/firm/70000001082010433</t>
  </si>
  <si>
    <t>SHY-0835</t>
  </si>
  <si>
    <t>Нурсат 2</t>
  </si>
  <si>
    <t>Шымкент, микрорайон Нурсат 2, 1</t>
  </si>
  <si>
    <t>https://2gis.kz/shymkent/firm/70000001027857257 | https://2gis.kz/shymkent/branches/70000001027857256</t>
  </si>
  <si>
    <t>https://2gis.kz/shymkent/firm/70000001027857257</t>
  </si>
  <si>
    <t>SHY-0836</t>
  </si>
  <si>
    <t>Шымкент, улица Айтеке би, 66</t>
  </si>
  <si>
    <t>https://2gis.kz/shymkent/firm/70000001080247672 | https://2gis.kz/shymkent/branches/70000001031475104</t>
  </si>
  <si>
    <t>https://2gis.kz/shymkent/firm/70000001080247672</t>
  </si>
  <si>
    <t>SHY-0837</t>
  </si>
  <si>
    <t>Continent Market</t>
  </si>
  <si>
    <t>https://2gis.kz/shymkent/firm/70000001100181840 | https://2gis.kz/shymkent/branches/70000001100181803</t>
  </si>
  <si>
    <t>https://2gis.kz/shymkent/firm/70000001100181840</t>
  </si>
  <si>
    <t>SHY-0838</t>
  </si>
  <si>
    <t>https://2gis.kz/shymkent/firm/70000001100181804 | https://2gis.kz/shymkent/branches/70000001100181803</t>
  </si>
  <si>
    <t>https://2gis.kz/shymkent/firm/70000001100181804</t>
  </si>
  <si>
    <t>SHY-0839</t>
  </si>
  <si>
    <t>https://2gis.kz/shymkent/firm/70000001100181898 | https://2gis.kz/shymkent/branches/70000001100181803</t>
  </si>
  <si>
    <t>https://2gis.kz/shymkent/firm/70000001100181898</t>
  </si>
  <si>
    <t>SHY-0840</t>
  </si>
  <si>
    <t>Шымкент, улица Жибек жолы, 20в</t>
  </si>
  <si>
    <t>https://2gis.kz/shymkent/firm/70000001100181869 | https://2gis.kz/shymkent/branches/70000001100181803</t>
  </si>
  <si>
    <t>https://2gis.kz/shymkent/firm/70000001100181869</t>
  </si>
  <si>
    <t>SHY-0841</t>
  </si>
  <si>
    <t>Шымкент, микрорайон Нурсат, 18а</t>
  </si>
  <si>
    <t>https://2gis.kz/shymkent/firm/70000001113170824 | https://2gis.kz/shymkent/branches/70000001097323526 | https://instagram.com/enzo.supermarket</t>
  </si>
  <si>
    <t>https://2gis.kz/shymkent/firm/70000001113170824</t>
  </si>
  <si>
    <t>SHY-0842</t>
  </si>
  <si>
    <t>Шымкент, проспект Тауке хана, 2/2</t>
  </si>
  <si>
    <t>https://2gis.kz/shymkent/firm/70000001075174293 | https://2gis.kz/shymkent/branches/70000001075174292</t>
  </si>
  <si>
    <t>https://2gis.kz/shymkent/firm/70000001075174293</t>
  </si>
  <si>
    <t>SHY-0843</t>
  </si>
  <si>
    <t>Шымкент, проспект Байдибек би, 26/2а</t>
  </si>
  <si>
    <t>https://www.gramad.kz/ | https://2gis.kz/shymkent/firm/70000001101985534 | https://2gis.kz/shymkent/branches/70000001035716168 | http://gramad.kz | https://instagram.com/gramad.kz | https://wa.me/77087776129</t>
  </si>
  <si>
    <t>https://2gis.kz/shymkent/firm/70000001101985534</t>
  </si>
  <si>
    <t>SHY-0844</t>
  </si>
  <si>
    <t>Шымкент, Казтобе улица, 2/3</t>
  </si>
  <si>
    <t>+77014725520</t>
  </si>
  <si>
    <t>https://2gis.kz/shymkent/firm/70000001026188725 | https://2gis.kz/shymkent/branches/70000001026188724 | https://wa.me/77711363707 | https://wa.me/77014725520</t>
  </si>
  <si>
    <t>https://2gis.kz/shymkent/firm/70000001026188725</t>
  </si>
  <si>
    <t>SHY-0845</t>
  </si>
  <si>
    <t>Шымкент, улица Рашидова, 81/2</t>
  </si>
  <si>
    <t>+77717933913, +77054906300</t>
  </si>
  <si>
    <t>https://2gis.kz/shymkent/firm/70000001032175685 | https://2gis.kz/shymkent/branches/70000001026188724 | https://wa.me/77717933913 | https://wa.me/77054906300</t>
  </si>
  <si>
    <t>https://2gis.kz/shymkent/firm/70000001032175685</t>
  </si>
  <si>
    <t>Ключ организации</t>
  </si>
  <si>
    <t>Компания / бренд</t>
  </si>
  <si>
    <t>Статус объединения</t>
  </si>
  <si>
    <t>Точек в именной базе</t>
  </si>
  <si>
    <t>Форматы</t>
  </si>
  <si>
    <t>Районы</t>
  </si>
  <si>
    <t>Телефоны</t>
  </si>
  <si>
    <t>Сайт / соцсети</t>
  </si>
  <si>
    <t>Источники</t>
  </si>
  <si>
    <t>Комментарий</t>
  </si>
  <si>
    <t>ind:SHY-0001</t>
  </si>
  <si>
    <t>Независимая / не установлено</t>
  </si>
  <si>
    <t>ind:SHY-0002</t>
  </si>
  <si>
    <t>ind:SHY-0003</t>
  </si>
  <si>
    <t>brand:азамат</t>
  </si>
  <si>
    <t>Возможная сеть / одинаковое название</t>
  </si>
  <si>
    <t>Магазин у дома / convenience, Супермаркет</t>
  </si>
  <si>
    <t>https://www.openstreetmap.org/node/4432254825 | https://2gis.kz/shymkent/firm/70000001026566591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4</t>
  </si>
  <si>
    <t>Требуется подтверждение единого владельца/закупки</t>
  </si>
  <si>
    <t>ind:SHY-0005</t>
  </si>
  <si>
    <t>brand:азықтүлік</t>
  </si>
  <si>
    <t>Сеть (подтверждено)</t>
  </si>
  <si>
    <t>https://www.openstreetmap.org/node/4440164990 | https://www.openstreetmap.org/node/4785590321 | https://www.openstreetmap.org/node/4490046492</t>
  </si>
  <si>
    <t>ind:SHY-0009</t>
  </si>
  <si>
    <t>brand:айару</t>
  </si>
  <si>
    <t>https://www.openstreetmap.org/node/4487902689 | https://2gis.kz/shymkent/firm/70000001035570845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4</t>
  </si>
  <si>
    <t>ind:SHY-0011</t>
  </si>
  <si>
    <t>ind:SHY-0012</t>
  </si>
  <si>
    <t>ind:SHY-0013</t>
  </si>
  <si>
    <t>ind:SHY-0014</t>
  </si>
  <si>
    <t>ind:SHY-0015</t>
  </si>
  <si>
    <t>ind:SHY-0016</t>
  </si>
  <si>
    <t>ind:SHY-0017</t>
  </si>
  <si>
    <t>ind:SHY-0018</t>
  </si>
  <si>
    <t>ind:SHY-0019</t>
  </si>
  <si>
    <t>ind:SHY-0020</t>
  </si>
  <si>
    <t>brand:акниет</t>
  </si>
  <si>
    <t>Магазин у дома / convenience, Рынок / торговая площадка</t>
  </si>
  <si>
    <t>https://www.openstreetmap.org/node/4433680391 | https://2gis.kz/shymkent/firm/70000001062730082</t>
  </si>
  <si>
    <t>ind:SHY-0022</t>
  </si>
  <si>
    <t>ind:SHY-0023</t>
  </si>
  <si>
    <t>ind:SHY-0024</t>
  </si>
  <si>
    <t>ind:SHY-0025</t>
  </si>
  <si>
    <t>ind:SHY-0026</t>
  </si>
  <si>
    <t>ind:SHY-0027</t>
  </si>
  <si>
    <t>ind:SHY-0028</t>
  </si>
  <si>
    <t>ind:SHY-0029</t>
  </si>
  <si>
    <t>brand:алем</t>
  </si>
  <si>
    <t>brand:алеммаркет</t>
  </si>
  <si>
    <t>ind:SHY-0032</t>
  </si>
  <si>
    <t>ind:SHY-0033</t>
  </si>
  <si>
    <t>brand:алтай</t>
  </si>
  <si>
    <t>Магазин у дома / convenience, АЗС</t>
  </si>
  <si>
    <t>https://www.openstreetmap.org/node/5220165328 | https://www.openstreetmap.org/node/1446285139 | https://www.openstreetmap.org/node/1652428842</t>
  </si>
  <si>
    <t>ind:SHY-0035</t>
  </si>
  <si>
    <t>ind:SHY-0036</t>
  </si>
  <si>
    <t>ind:SHY-0037</t>
  </si>
  <si>
    <t>ind:SHY-0038</t>
  </si>
  <si>
    <t>brand:анар</t>
  </si>
  <si>
    <t>https://www.openstreetmap.org/node/1260468108 | https://www.openstreetmap.org/node/3302046766</t>
  </si>
  <si>
    <t>ind:SHY-0041</t>
  </si>
  <si>
    <t>ind:SHY-0042</t>
  </si>
  <si>
    <t>brand:арай</t>
  </si>
  <si>
    <t>Магазин у дома / convenience, Продуктовый магазин</t>
  </si>
  <si>
    <t>https://www.openstreetmap.org/node/4789381921 | https://www.openstreetmap.org/node/4516585190 | https://2gis.kz/shymkent/firm/70000001083272014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5</t>
  </si>
  <si>
    <t>ind:SHY-0045</t>
  </si>
  <si>
    <t>brand:арзан</t>
  </si>
  <si>
    <t>Магазин у дома / convenience, Супермаркет, Продуктовый магазин</t>
  </si>
  <si>
    <t>Абайский, Туран, Енбекшинский</t>
  </si>
  <si>
    <t>+77053320232, +77087207180, +77780010770</t>
  </si>
  <si>
    <t>https://www.openstreetmap.org/node/12964522579 | https://www.openstreetmap.org/node/4782466522 | https://www.openstreetmap.org/node/3728571231 | https://2gis.kz/shymkent/firm/70000001082669321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4 | https://2gis.kz/shymkent/firm/70000001060675607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3 | https://2gis.kz/shymkent/firm/70000001099381542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/page/2</t>
  </si>
  <si>
    <t>ind:SHY-0048</t>
  </si>
  <si>
    <t>ind:SHY-0049</t>
  </si>
  <si>
    <t>ind:SHY-0050</t>
  </si>
  <si>
    <t>ind:SHY-0051</t>
  </si>
  <si>
    <t>brand:аружан</t>
  </si>
  <si>
    <t>https://www.openstreetmap.org/node/4432310395 | https://www.openstreetmap.org/node/4430223994 | https://2gis.kz/shymkent/firm/70000001026065293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3</t>
  </si>
  <si>
    <t>ind:SHY-0054</t>
  </si>
  <si>
    <t>brand:асель</t>
  </si>
  <si>
    <t>https://www.openstreetmap.org/node/1458043950 | https://www.openstreetmap.org/node/4441610389 | https://www.openstreetmap.org/node/6183802024</t>
  </si>
  <si>
    <t>brand:асем</t>
  </si>
  <si>
    <t>Аль-Фарабийский, Абайский</t>
  </si>
  <si>
    <t>+77252556537, +77055680214</t>
  </si>
  <si>
    <t>https://www.openstreetmap.org/node/1455157626 | https://2gis.kz/shymkent/firm/70000001025820761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3 | https://www.openstreetmap.org/node/4800530923 | https://www.openstreetmap.org/node/4613361791 | https://2gis.kz/shymkent/firm/70000001026009118 | https://2gis.kz/shymkent/firm/70000001054562731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2</t>
  </si>
  <si>
    <t>ind:SHY-0059</t>
  </si>
  <si>
    <t>ind:SHY-0060</t>
  </si>
  <si>
    <t>ind:SHY-0061</t>
  </si>
  <si>
    <t>ind:SHY-0062</t>
  </si>
  <si>
    <t>ind:SHY-0063</t>
  </si>
  <si>
    <t>ind:SHY-0064</t>
  </si>
  <si>
    <t>ind:SHY-0065</t>
  </si>
  <si>
    <t>ind:SHY-0066</t>
  </si>
  <si>
    <t>ind:SHY-0067</t>
  </si>
  <si>
    <t>ind:SHY-0068</t>
  </si>
  <si>
    <t>ind:SHY-0069</t>
  </si>
  <si>
    <t>ind:SHY-0070</t>
  </si>
  <si>
    <t>brand:бакдаулет</t>
  </si>
  <si>
    <t>https://www.openstreetmap.org/node/4499947690 | https://www.openstreetmap.org/node/4490047992</t>
  </si>
  <si>
    <t>brand:бақдаулет</t>
  </si>
  <si>
    <t>https://www.openstreetmap.org/node/4782466422 | https://www.openstreetmap.org/node/4788132521</t>
  </si>
  <si>
    <t>ind:SHY-0075</t>
  </si>
  <si>
    <t>ind:SHY-0076</t>
  </si>
  <si>
    <t>ind:SHY-0077</t>
  </si>
  <si>
    <t>brand:безназвания</t>
  </si>
  <si>
    <t>ind:SHY-0079</t>
  </si>
  <si>
    <t>ind:SHY-0080</t>
  </si>
  <si>
    <t>ind:SHY-0081</t>
  </si>
  <si>
    <t>brand:береке</t>
  </si>
  <si>
    <t>https://www.openstreetmap.org/node/11809500062 | https://www.openstreetmap.org/node/4490047994 | https://www.openstreetmap.org/node/4465990195 | https://www.openstreetmap.org/node/4885388122 | https://2gis.kz/shymkent/firm/70000001026017384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3</t>
  </si>
  <si>
    <t>ind:SHY-0086</t>
  </si>
  <si>
    <t>ind:SHY-0087</t>
  </si>
  <si>
    <t>ind:SHY-0088</t>
  </si>
  <si>
    <t>ind:SHY-0089</t>
  </si>
  <si>
    <t>ind:SHY-0090</t>
  </si>
  <si>
    <t>ind:SHY-0091</t>
  </si>
  <si>
    <t>ind:SHY-0092</t>
  </si>
  <si>
    <t>ind:SHY-0093</t>
  </si>
  <si>
    <t>ind:SHY-0094</t>
  </si>
  <si>
    <t>ind:SHY-0095</t>
  </si>
  <si>
    <t>ind:SHY-0096</t>
  </si>
  <si>
    <t>ind:SHY-0097</t>
  </si>
  <si>
    <t>brand:дана</t>
  </si>
  <si>
    <t>https://www.openstreetmap.org/node/4430222894 | https://www.openstreetmap.org/node/4490076693</t>
  </si>
  <si>
    <t>ind:SHY-0100</t>
  </si>
  <si>
    <t>ind:SHY-0101</t>
  </si>
  <si>
    <t>ind:SHY-0102</t>
  </si>
  <si>
    <t>ind:SHY-0103</t>
  </si>
  <si>
    <t>https://www.openstreetmap.org/node/1283573924 | https://2gis.kz/shymkent/firm/70000001029851756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2</t>
  </si>
  <si>
    <t>ind:SHY-0104</t>
  </si>
  <si>
    <t>brand:диана</t>
  </si>
  <si>
    <t>https://www.openstreetmap.org/node/4441674290 | https://www.openstreetmap.org/node/4465871089</t>
  </si>
  <si>
    <t>ind:SHY-0107</t>
  </si>
  <si>
    <t>brand:дина</t>
  </si>
  <si>
    <t>https://www.openstreetmap.org/node/8664510555 | https://www.openstreetmap.org/node/4490076694</t>
  </si>
  <si>
    <t>ind:SHY-0110</t>
  </si>
  <si>
    <t>ind:SHY-0111</t>
  </si>
  <si>
    <t>ind:SHY-0112</t>
  </si>
  <si>
    <t>brand:достық</t>
  </si>
  <si>
    <t>https://www.openstreetmap.org/node/4788016323 | https://2gis.kz/shymkent/firm/70000001110710559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/page/2</t>
  </si>
  <si>
    <t>ind:SHY-0114</t>
  </si>
  <si>
    <t>ind:SHY-0115</t>
  </si>
  <si>
    <t>ind:SHY-0116</t>
  </si>
  <si>
    <t>ind:SHY-0117</t>
  </si>
  <si>
    <t>ind:SHY-0118</t>
  </si>
  <si>
    <t>ind:SHY-0119</t>
  </si>
  <si>
    <t>ind:SHY-0120</t>
  </si>
  <si>
    <t>ind:SHY-0121</t>
  </si>
  <si>
    <t>brand:жанна</t>
  </si>
  <si>
    <t>https://www.openstreetmap.org/node/1416829887 | https://2gis.kz/shymkent/firm/70000001026041172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5</t>
  </si>
  <si>
    <t>ind:SHY-0123</t>
  </si>
  <si>
    <t>ind:SHY-0124</t>
  </si>
  <si>
    <t>ind:SHY-0125</t>
  </si>
  <si>
    <t>ind:SHY-0126</t>
  </si>
  <si>
    <t>ind:SHY-0127</t>
  </si>
  <si>
    <t>brand:зарина</t>
  </si>
  <si>
    <t>https://www.openstreetmap.org/node/1458043964 | https://www.openstreetmap.org/node/4440168490</t>
  </si>
  <si>
    <t>ind:SHY-0130</t>
  </si>
  <si>
    <t>ind:SHY-0131</t>
  </si>
  <si>
    <t>ind:SHY-0132</t>
  </si>
  <si>
    <t>ind:SHY-0133</t>
  </si>
  <si>
    <t>ind:SHY-0134</t>
  </si>
  <si>
    <t>ind:SHY-0135</t>
  </si>
  <si>
    <t>ind:SHY-0136</t>
  </si>
  <si>
    <t>brand:керемет</t>
  </si>
  <si>
    <t>https://www.openstreetmap.org/node/4885369121 | https://www.openstreetmap.org/node/3302013296 | https://2gis.kz/shymkent/firm/70000001080855309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5</t>
  </si>
  <si>
    <t>ind:SHY-0138</t>
  </si>
  <si>
    <t>ind:SHY-0139</t>
  </si>
  <si>
    <t>ind:SHY-0140</t>
  </si>
  <si>
    <t>ind:SHY-0141</t>
  </si>
  <si>
    <t>ind:SHY-0142</t>
  </si>
  <si>
    <t>ind:SHY-0143</t>
  </si>
  <si>
    <t>ind:SHY-0144</t>
  </si>
  <si>
    <t>brand:магазин</t>
  </si>
  <si>
    <t>https://www.openstreetmap.org/node/3727523138 | https://www.openstreetmap.org/node/4782489326 | https://www.openstreetmap.org/node/4782492824</t>
  </si>
  <si>
    <t>ind:SHY-0148</t>
  </si>
  <si>
    <t>ind:SHY-0149</t>
  </si>
  <si>
    <t>brand:мадина</t>
  </si>
  <si>
    <t>https://www.openstreetmap.org/node/4481364190 | https://www.openstreetmap.org/node/1423774094</t>
  </si>
  <si>
    <t>ind:SHY-0151</t>
  </si>
  <si>
    <t>ind:SHY-0152</t>
  </si>
  <si>
    <t>ind:SHY-0153</t>
  </si>
  <si>
    <t>https://www.openstreetmap.org/way/466396465 | https://www.openstreetmap.org/node/4009223183</t>
  </si>
  <si>
    <t>brand:максат</t>
  </si>
  <si>
    <t>Магазин у дома / convenience, Минимаркет</t>
  </si>
  <si>
    <t>https://www.openstreetmap.org/node/3736898395 | https://2gis.kz/shymkent/firm/70000001026009498</t>
  </si>
  <si>
    <t>ind:SHY-0155</t>
  </si>
  <si>
    <t>ind:SHY-0156</t>
  </si>
  <si>
    <t>brand:мансур</t>
  </si>
  <si>
    <t>https://www.openstreetmap.org/node/1473223235 | https://www.openstreetmap.org/node/4430357689</t>
  </si>
  <si>
    <t>brand:маржан</t>
  </si>
  <si>
    <t>https://www.openstreetmap.org/node/4430223993 | https://www.openstreetmap.org/node/12117313901</t>
  </si>
  <si>
    <t>ind:SHY-0160</t>
  </si>
  <si>
    <t>ind:SHY-0161</t>
  </si>
  <si>
    <t>ind:SHY-0162</t>
  </si>
  <si>
    <t>brand:мерей</t>
  </si>
  <si>
    <t>https://www.openstreetmap.org/node/4490076696 | https://www.openstreetmap.org/node/4885375821</t>
  </si>
  <si>
    <t>ind:SHY-0165</t>
  </si>
  <si>
    <t>ind:SHY-0166</t>
  </si>
  <si>
    <t>ind:SHY-0167</t>
  </si>
  <si>
    <t>https://www.openstreetmap.org/node/3735413528 | https://2gis.kz/shymkent/firm/70000001025876663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3</t>
  </si>
  <si>
    <t>ind:SHY-0168</t>
  </si>
  <si>
    <t>ind:SHY-0169</t>
  </si>
  <si>
    <t>ind:SHY-0170</t>
  </si>
  <si>
    <t>ind:SHY-0171</t>
  </si>
  <si>
    <t>ind:SHY-0172</t>
  </si>
  <si>
    <t>ind:SHY-0173</t>
  </si>
  <si>
    <t>ind:SHY-0174</t>
  </si>
  <si>
    <t>ind:SHY-0175</t>
  </si>
  <si>
    <t>brand:нур</t>
  </si>
  <si>
    <t>https://www.openstreetmap.org/node/1455157841 | https://www.openstreetmap.org/node/4464366690 | https://www.openstreetmap.org/node/4476249289</t>
  </si>
  <si>
    <t>ind:SHY-0179</t>
  </si>
  <si>
    <t>ind:SHY-0180</t>
  </si>
  <si>
    <t>ind:SHY-0181</t>
  </si>
  <si>
    <t>ind:SHY-0182</t>
  </si>
  <si>
    <t>ind:SHY-0183</t>
  </si>
  <si>
    <t>ind:SHY-0184</t>
  </si>
  <si>
    <t>ind:SHY-0185</t>
  </si>
  <si>
    <t>ind:SHY-0186</t>
  </si>
  <si>
    <t>brand:олжа</t>
  </si>
  <si>
    <t>Магазин у дома / convenience, Минимаркет, Супермаркет</t>
  </si>
  <si>
    <t>+77087124354, +77758408340, +77711166602</t>
  </si>
  <si>
    <t>https://www.openstreetmap.org/node/1268848706 | https://www.openstreetmap.org/node/1506284778 | https://www.openstreetmap.org/node/4788028722 | https://2gis.kz/shymkent/firm/70000001027776079 | https://2gis.kz/shymkent/firm/70000001071757893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 | https://2gis.kz/shymkent/firm/70000001047205021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3</t>
  </si>
  <si>
    <t>brand:олжас</t>
  </si>
  <si>
    <t>https://www.openstreetmap.org/node/4516593190 | https://2gis.kz/shymkent/firm/70000001045259007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4</t>
  </si>
  <si>
    <t>ind:SHY-0191</t>
  </si>
  <si>
    <t>ind:SHY-0192</t>
  </si>
  <si>
    <t>ind:SHY-0193</t>
  </si>
  <si>
    <t>ind:SHY-0194</t>
  </si>
  <si>
    <t>ind:SHY-0195</t>
  </si>
  <si>
    <t>ind:SHY-0196</t>
  </si>
  <si>
    <t>ind:SHY-0197</t>
  </si>
  <si>
    <t>ind:SHY-0198</t>
  </si>
  <si>
    <t>ind:SHY-0199</t>
  </si>
  <si>
    <t>ind:SHY-0200</t>
  </si>
  <si>
    <t>ind:SHY-0201</t>
  </si>
  <si>
    <t>ind:SHY-0202</t>
  </si>
  <si>
    <t>brand:рахат</t>
  </si>
  <si>
    <t>https://www.openstreetmap.org/node/4782489325 | https://www.openstreetmap.org/node/4885376122 | https://2gis.kz/shymkent/firm/70000001028440351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4</t>
  </si>
  <si>
    <t>ind:SHY-0205</t>
  </si>
  <si>
    <t>ind:SHY-0206</t>
  </si>
  <si>
    <t>ind:SHY-0207</t>
  </si>
  <si>
    <t>ind:SHY-0208</t>
  </si>
  <si>
    <t>ind:SHY-0209</t>
  </si>
  <si>
    <t>ind:SHY-0210</t>
  </si>
  <si>
    <t>ind:SHY-0211</t>
  </si>
  <si>
    <t>ind:SHY-0212</t>
  </si>
  <si>
    <t>ind:SHY-0213</t>
  </si>
  <si>
    <t>ind:SHY-0214</t>
  </si>
  <si>
    <t>brand:сауле</t>
  </si>
  <si>
    <t>https://www.openstreetmap.org/node/4466006089 | https://www.openstreetmap.org/node/4437831790</t>
  </si>
  <si>
    <t>ind:SHY-0216</t>
  </si>
  <si>
    <t>ind:SHY-0217</t>
  </si>
  <si>
    <t>ind:SHY-0218</t>
  </si>
  <si>
    <t>ind:SHY-0219</t>
  </si>
  <si>
    <t>ind:SHY-0220</t>
  </si>
  <si>
    <t>ind:SHY-0221</t>
  </si>
  <si>
    <t>ind:SHY-0222</t>
  </si>
  <si>
    <t>brand:табыс</t>
  </si>
  <si>
    <t>https://www.openstreetmap.org/node/11809512216 | https://2gis.kz/shymkent/firm/70000001028490320</t>
  </si>
  <si>
    <t>ind:SHY-0224</t>
  </si>
  <si>
    <t>ind:SHY-0225</t>
  </si>
  <si>
    <t>ind:SHY-0226</t>
  </si>
  <si>
    <t>brand:улар</t>
  </si>
  <si>
    <t>https://www.openstreetmap.org/node/4490084491 | https://www.openstreetmap.org/node/4465871191</t>
  </si>
  <si>
    <t>ind:SHY-0229</t>
  </si>
  <si>
    <t>brand:ферммаг</t>
  </si>
  <si>
    <t>Аль-Фарабийский, Каратауский</t>
  </si>
  <si>
    <t>+77752633670, +77476955365, +77024981166</t>
  </si>
  <si>
    <t>https://instagram.com/fermmag_shymkent | https://2gis.kz/shymkent/firm/70000001059857337 | https://2gis.kz/shymkent/branches/70000001059857336 | https://wa.me/77752633670 | https://wa.me/77476955365 | https://2gis.kz/shymkent/firm/70000001095010173 | https://wa.me/77024981166</t>
  </si>
  <si>
    <t>https://www.openstreetmap.org/node/12580245104 | https://2gis.kz/shymkent/firm/70000001059857337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 | https://2gis.kz/shymkent/firm/70000001095010173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3</t>
  </si>
  <si>
    <t>ind:SHY-0231</t>
  </si>
  <si>
    <t>brand:фиркан</t>
  </si>
  <si>
    <t>https://www.openstreetmap.org/node/4469652493 | https://www.openstreetmap.org/way/343148977 | https://www.openstreetmap.org/node/1451691080</t>
  </si>
  <si>
    <t>ind:SHY-0235</t>
  </si>
  <si>
    <t>ind:SHY-0236</t>
  </si>
  <si>
    <t>ind:SHY-0237</t>
  </si>
  <si>
    <t>ind:SHY-0238</t>
  </si>
  <si>
    <t>ind:SHY-0239</t>
  </si>
  <si>
    <t>ind:SHY-0240</t>
  </si>
  <si>
    <t>ind:SHY-0241</t>
  </si>
  <si>
    <t>ind:SHY-0242</t>
  </si>
  <si>
    <t>ind:SHY-0243</t>
  </si>
  <si>
    <t>ind:SHY-0244</t>
  </si>
  <si>
    <t>ind:SHY-0245</t>
  </si>
  <si>
    <t>ind:SHY-0246</t>
  </si>
  <si>
    <t>ind:SHY-0247</t>
  </si>
  <si>
    <t>ind:SHY-0248</t>
  </si>
  <si>
    <t>ind:SHY-0249</t>
  </si>
  <si>
    <t>ind:SHY-0250</t>
  </si>
  <si>
    <t>ind:SHY-0251</t>
  </si>
  <si>
    <t>ind:SHY-0252</t>
  </si>
  <si>
    <t>ind:SHY-0253</t>
  </si>
  <si>
    <t>ind:SHY-0254</t>
  </si>
  <si>
    <t>ind:SHY-0255</t>
  </si>
  <si>
    <t>ind:SHY-0256</t>
  </si>
  <si>
    <t>ind:SHY-0257</t>
  </si>
  <si>
    <t>ind:SHY-0258</t>
  </si>
  <si>
    <t>ind:SHY-0259</t>
  </si>
  <si>
    <t>ind:SHY-0260</t>
  </si>
  <si>
    <t>ind:SHY-0261</t>
  </si>
  <si>
    <t>ind:SHY-0262</t>
  </si>
  <si>
    <t>ind:SHY-0263</t>
  </si>
  <si>
    <t>ind:SHY-0264</t>
  </si>
  <si>
    <t>ind:SHY-0265</t>
  </si>
  <si>
    <t>ind:SHY-0266</t>
  </si>
  <si>
    <t>ind:SHY-0267</t>
  </si>
  <si>
    <t>ind:SHY-0268</t>
  </si>
  <si>
    <t>ind:SHY-0269</t>
  </si>
  <si>
    <t>ind:SHY-0270</t>
  </si>
  <si>
    <t>ind:SHY-0271</t>
  </si>
  <si>
    <t>ind:SHY-0272</t>
  </si>
  <si>
    <t>ind:SHY-0273</t>
  </si>
  <si>
    <t>ind:SHY-0274</t>
  </si>
  <si>
    <t>ind:SHY-0275</t>
  </si>
  <si>
    <t>ind:SHY-0276</t>
  </si>
  <si>
    <t>ind:SHY-0277</t>
  </si>
  <si>
    <t>ind:SHY-0278</t>
  </si>
  <si>
    <t>ind:SHY-0279</t>
  </si>
  <si>
    <t>ind:SHY-0280</t>
  </si>
  <si>
    <t>ind:SHY-0281</t>
  </si>
  <si>
    <t>ind:SHY-0282</t>
  </si>
  <si>
    <t>ind:SHY-0283</t>
  </si>
  <si>
    <t>ind:SHY-0284</t>
  </si>
  <si>
    <t>ind:SHY-0285</t>
  </si>
  <si>
    <t>ind:SHY-0286</t>
  </si>
  <si>
    <t>ind:SHY-0287</t>
  </si>
  <si>
    <t>ind:SHY-0288</t>
  </si>
  <si>
    <t>ind:SHY-0289</t>
  </si>
  <si>
    <t>ind:SHY-0290</t>
  </si>
  <si>
    <t>ind:SHY-0291</t>
  </si>
  <si>
    <t>ind:SHY-0292</t>
  </si>
  <si>
    <t>ind:SHY-0293</t>
  </si>
  <si>
    <t>ind:SHY-0294</t>
  </si>
  <si>
    <t>ind:SHY-0295</t>
  </si>
  <si>
    <t>ind:SHY-0296</t>
  </si>
  <si>
    <t>ind:SHY-0297</t>
  </si>
  <si>
    <t>ind:SHY-0298</t>
  </si>
  <si>
    <t>ind:SHY-0299</t>
  </si>
  <si>
    <t>ind:SHY-0300</t>
  </si>
  <si>
    <t>ind:SHY-0301</t>
  </si>
  <si>
    <t>ind:SHY-0302</t>
  </si>
  <si>
    <t>ind:SHY-0303</t>
  </si>
  <si>
    <t>ind:SHY-0304</t>
  </si>
  <si>
    <t>ind:SHY-0305</t>
  </si>
  <si>
    <t>ind:SHY-0306</t>
  </si>
  <si>
    <t>brand:magnum</t>
  </si>
  <si>
    <t>Туран, Аль-Фарабийский, Енбекшинский, Абайский, Каратауский</t>
  </si>
  <si>
    <t>http://magnum.kz | https://instagram.com/magnum.kz | https://www.magnum.kz/ | https://2gis.kz/shymkent/firm/70000001065096081 | https://2gis.kz/shymkent/branches/70000001044898537 | http://tiktok.com/@magnum.kz | https://youtube.com/@MagnumCashCarrykz | https://wa.me/77763007766 | https://2gis.kz/shymkent/firm/70000001055929225 | https://2gis.kz/shymkent/firm/70000001065979634 | https://2gis.kz/shymkent/firm/70000001026076266 | https://2gis.kz/shymkent/firm/70000001057817941 | https://2gis.kz/shymkent/firm/70000001061425516 | https://2gis.kz/shymkent/firm/70000001040129819 | https://2gis.kz/shymkent/firm/70000001065559885 | https://2gis.kz/shymkent/firm/70000001064541683 | https://2gis.kz/shymkent/firm/70000001065549295 | https://2gis.kz/shymkent/firm/70000001064338774 | https://2gis.kz/shymkent/firm/70000001067086809 | https://2gis.kz/shymkent/firm/70000001036865318 | https://2gis.kz/shymkent/firm/70000001040085186 | https://2gis.kz/shymkent/firm/70000001025991413 | https://2gis.kz/shymkent/firm/70000001060744526 | https://2gis.kz/shymkent/firm/70000001065453535 | https://2gis.kz/shymkent/firm/70000001034880965 | https://2gis.kz/shymkent/firm/70000001046271354 | https://2gis.kz/shymkent/firm/70000001061218934 | https://2gis.kz/shymkent/firm/70000001060620073 | https://2gis.kz/shymkent/firm/70000001046779752</t>
  </si>
  <si>
    <t>https://www.openstreetmap.org/node/10799191102 | https://2gis.kz/shymkent/firm/70000001065096081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2 | https://www.openstreetmap.org/node/10799233913 | https://www.openstreetmap.org/node/10067107766 | https://2gis.kz/shymkent/firm/70000001055929225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 | https://www.openstreetmap.org/node/10067093036 | https://www.openstreetmap.org/node/1455157797 | https://www.openstreetmap.org/node/10067117086 | https://www.openstreetmap.org/node/10067060882 | https://2gis.kz/shymkent/firm/70000001065979634 | https://www.openstreetmap.org/node/10804017142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 | https://2gis.kz/shymkent/firm/70000001026076266 | https://www.openstreetmap.org/node/1783575220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 | https://www.openstreetmap.org/node/10067074141 | https://2gis.kz/shymkent/firm/70000001057817941 | https://www.openstreetmap.org/node/1458044027 | https://2gis.kz/shymkent/firm/70000001061425516 | https://www.openstreetmap.org/way/115437416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 | https://2gis.kz/shymkent/firm/70000001040129819 | https://www.openstreetmap.org/node/10066998490 | https://2gis.kz/shymkent/firm/70000001065559885 | https://www.openstreetmap.org/node/4530124558 | https://2gis.kz/shymkent/firm/70000001064541683 | https://www.openstreetmap.org/node/4708465789 | https://2gis.kz/shymkent/firm/70000001065549295 | https://www.openstreetmap.org/way/109683638 | https://2gis.kz/shymkent/firm/70000001064338774 | https://www.openstreetmap.org/way/114216337 | https://2gis.kz/shymkent/firm/70000001067086809 | https://www.openstreetmap.org/way/369789433 | https://2gis.kz/shymkent/firm/70000001036865318 | https://www.openstreetmap.org/node/10066998506 | https://www.openstreetmap.org/node/10067104347 | https://2gis.kz/shymkent/firm/70000001040085186 | https://www.openstreetmap.org/node/10799233920 | https://2gis.kz/shymkent/firm/70000001025991413 | https://www.openstreetmap.org/node/4986581821 | https://www.openstreetmap.org/node/10067095741 | https://2gis.kz/shymkent/firm/70000001060744526 | https://www.openstreetmap.org/node/10067032536 | https://2gis.kz/shymkent/firm/70000001065453535 | https://www.openstreetmap.org/node/4465989092 | https://2gis.kz/shymkent/firm/70000001034880965 | https://www.openstreetmap.org/node/10067011567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 | https://2gis.kz/shymkent/firm/70000001046271354 | https://www.openstreetmap.org/node/10067081873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 | https://2gis.kz/shymkent/firm/70000001061218934 | https://www.openstreetmap.org/node/10067011373 | https://2gis.kz/shymkent/firm/70000001060620073 | https://www.openstreetmap.org/node/10067117153 | https://2gis.kz/shymkent/firm/70000001046779752 | https://www.openstreetmap.org/node/10067074184</t>
  </si>
  <si>
    <t>brand:magnumexpress</t>
  </si>
  <si>
    <t>https://www.openstreetmap.org/way/113106948 | https://2gis.kz/shymkent/firm/70000001064340706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</t>
  </si>
  <si>
    <t>ind:SHY-0315</t>
  </si>
  <si>
    <t>https://www.openstreetmap.org/way/134872800 | https://2gis.kz/shymkent/firm/70000001026488468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4</t>
  </si>
  <si>
    <t>ind:SHY-0316</t>
  </si>
  <si>
    <t>ind:SHY-0317</t>
  </si>
  <si>
    <t>ind:SHY-0318</t>
  </si>
  <si>
    <t>https://2gis.kz/shymkent/firm/70000001094361219 | https://2gis.kz/shymkent/search/%D0%9F%D1%80%D0%BE%D0%B4%D1%83%D0%BA%D1%82%D0%BE%D0%B2%D1%8B%D0%B5%20%D0%BC%D0%B0%D0%B3%D0%B0%D0%B7%D0%B8%D0%BD%D1%8B</t>
  </si>
  <si>
    <t>ind:SHY-0319</t>
  </si>
  <si>
    <t>https://2gis.kz/shymkent/firm/70000001089402326 | https://2gis.kz/shymkent/search/%D0%9F%D1%80%D0%BE%D0%B4%D1%83%D0%BA%D1%82%D0%BE%D0%B2%D1%8B%D0%B5%20%D0%BC%D0%B0%D0%B3%D0%B0%D0%B7%D0%B8%D0%BD%D1%8B/page/2</t>
  </si>
  <si>
    <t>brand:жаналык</t>
  </si>
  <si>
    <t>Продуктовый магазин, Супермаркет</t>
  </si>
  <si>
    <t>Каратауский, Абайский</t>
  </si>
  <si>
    <t>+77088900490, +77716431211, +77072471819, +77066537077, +77087260717, +77471709071, +77711373035, +77761476655, +77756671814, +77476290015, +77760554884, +77766352569</t>
  </si>
  <si>
    <t>https://instagram.com/zhanalyk_market_ | https://2gis.kz/shymkent/firm/70000001112394194 | https://2gis.kz/shymkent/branches/70000001026492732 | https://2gis.kz/shymkent/firm/70000001026505700 | https://wa.me/77716431211 | https://2gis.kz/shymkent/firm/70000001103994220 | https://wa.me/77072471819 | https://2gis.kz/shymkent/firm/70000001037756763 | https://wa.me/77066537077 | https://2gis.kz/shymkent/firm/70000001034553197 | https://wa.me/77025097888 | https://wa.me/77087260717 | https://2gis.kz/shymkent/firm/70000001068551982 | https://2gis.kz/shymkent/firm/70000001026492733 | https://2gis.kz/shymkent/firm/70000001090663714 | https://wa.me/77761476655 | https://2gis.kz/shymkent/firm/70000001082708525 | https://wa.me/77756671814 | https://2gis.kz/shymkent/firm/70000001100579025 | https://instagram.com/zhanalyk_supermarket | https://wa.me/77476290015 | https://2gis.kz/shymkent/firm/70000001054345103 | https://2gis.kz/shymkent/firm/70000001090766675 | https://2gis.kz/shymkent/firm/70000001069376521 | https://wa.me/77766352569 | https://2gis.kz/shymkent/firm/70000001082010433</t>
  </si>
  <si>
    <t>https://2gis.kz/shymkent/firm/70000001112394194 | https://2gis.kz/shymkent/search/%D0%9F%D1%80%D0%BE%D0%B4%D1%83%D0%BA%D1%82%D0%BE%D0%B2%D1%8B%D0%B5%20%D0%BC%D0%B0%D0%B3%D0%B0%D0%B7%D0%B8%D0%BD%D1%8B | https://2gis.kz/shymkent/firm/70000001026505700 | https://www.openstreetmap.org/node/3204748843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 | https://2gis.kz/shymkent/firm/70000001103994220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3 | https://2gis.kz/shymkent/firm/70000001037756763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2 | https://2gis.kz/shymkent/firm/70000001034553197 | https://2gis.kz/shymkent/firm/70000001068551982 | https://2gis.kz/shymkent/firm/70000001026492733 | https://2gis.kz/shymkent/firm/70000001090663714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 | https://2gis.kz/shymkent/firm/70000001082708525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2 | https://2gis.kz/shymkent/firm/70000001100579025 | https://2gis.kz/shymkent/firm/70000001054345103 | https://2gis.kz/shymkent/firm/70000001090766675 | https://2gis.kz/shymkent/firm/70000001069376521 | https://2gis.kz/shymkent/firm/70000001082010433</t>
  </si>
  <si>
    <t>brand:оптовыймаркет</t>
  </si>
  <si>
    <t>+77715725728, +77076869798</t>
  </si>
  <si>
    <t>https://2gis.kz/shymkent/firm/70000001111385851 | https://2gis.kz/shymkent/search/%D0%9F%D1%80%D0%BE%D0%B4%D1%83%D0%BA%D1%82%D0%BE%D0%B2%D1%8B%D0%B5%20%D0%BC%D0%B0%D0%B3%D0%B0%D0%B7%D0%B8%D0%BD%D1%8B | https://2gis.kz/shymkent/firm/70000001088125885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5</t>
  </si>
  <si>
    <t>ind:SHY-0323</t>
  </si>
  <si>
    <t>https://2gis.kz/shymkent/firm/70000001090008919 | https://2gis.kz/shymkent/search/%D0%9F%D1%80%D0%BE%D0%B4%D1%83%D0%BA%D1%82%D0%BE%D0%B2%D1%8B%D0%B5%20%D0%BC%D0%B0%D0%B3%D0%B0%D0%B7%D0%B8%D0%BD%D1%8B/page/4</t>
  </si>
  <si>
    <t>ind:SHY-0324</t>
  </si>
  <si>
    <t>https://2gis.kz/shymkent/firm/70000001059993574 | https://2gis.kz/shymkent/search/%D0%9F%D1%80%D0%BE%D0%B4%D1%83%D0%BA%D1%82%D0%BE%D0%B2%D1%8B%D0%B5%20%D0%BC%D0%B0%D0%B3%D0%B0%D0%B7%D0%B8%D0%BD%D1%8B/page/2</t>
  </si>
  <si>
    <t>ind:SHY-0325</t>
  </si>
  <si>
    <t>ind:SHY-0326</t>
  </si>
  <si>
    <t>https://2gis.kz/shymkent/firm/70000001028127468 | https://2gis.kz/shymkent/search/%D0%9F%D1%80%D0%BE%D0%B4%D1%83%D0%BA%D1%82%D0%BE%D0%B2%D1%8B%D0%B5%20%D0%BC%D0%B0%D0%B3%D0%B0%D0%B7%D0%B8%D0%BD%D1%8B/page/3</t>
  </si>
  <si>
    <t>ind:SHY-0327</t>
  </si>
  <si>
    <t>https://2gis.kz/shymkent/firm/70000001055795825 | https://2gis.kz/shymkent/search/%D0%9F%D1%80%D0%BE%D0%B4%D1%83%D0%BA%D1%82%D0%BE%D0%B2%D1%8B%D0%B5%20%D0%BC%D0%B0%D0%B3%D0%B0%D0%B7%D0%B8%D0%BD%D1%8B/page/3</t>
  </si>
  <si>
    <t>ind:SHY-0328</t>
  </si>
  <si>
    <t>https://2gis.kz/shymkent/firm/70000001097163539 | https://2gis.kz/shymkent/search/%D0%9F%D1%80%D0%BE%D0%B4%D1%83%D0%BA%D1%82%D0%BE%D0%B2%D1%8B%D0%B5%20%D0%BC%D0%B0%D0%B3%D0%B0%D0%B7%D0%B8%D0%BD%D1%8B</t>
  </si>
  <si>
    <t>ind:SHY-0329</t>
  </si>
  <si>
    <t>https://2gis.kz/shymkent/firm/70000001045583997 | https://2gis.kz/shymkent/search/%D0%9F%D1%80%D0%BE%D0%B4%D1%83%D0%BA%D1%82%D0%BE%D0%B2%D1%8B%D0%B5%20%D0%BC%D0%B0%D0%B3%D0%B0%D0%B7%D0%B8%D0%BD%D1%8B/page/4</t>
  </si>
  <si>
    <t>ind:SHY-0330</t>
  </si>
  <si>
    <t>ind:SHY-0331</t>
  </si>
  <si>
    <t>ind:SHY-0333</t>
  </si>
  <si>
    <t>https://2gis.kz/shymkent/firm/70000001027786802 | https://www.openstreetmap.org/node/6345282615</t>
  </si>
  <si>
    <t>brand:оптовик2</t>
  </si>
  <si>
    <t>https://2gis.kz/shymkent/firm/70000001062463227 | https://2gis.kz/shymkent/firm/70000001051056694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4</t>
  </si>
  <si>
    <t>ind:SHY-0337</t>
  </si>
  <si>
    <t>https://2gis.kz/shymkent/firm/70000001098705286 | https://2gis.kz/shymkent/search/%D0%9F%D1%80%D0%BE%D0%B4%D1%83%D0%BA%D1%82%D0%BE%D0%B2%D1%8B%D0%B5%20%D0%BC%D0%B0%D0%B3%D0%B0%D0%B7%D0%B8%D0%BD%D1%8B</t>
  </si>
  <si>
    <t>brand:maxmarket</t>
  </si>
  <si>
    <t>+77711363707, +77014725520, +77717933913, +77054906300</t>
  </si>
  <si>
    <t>https://instagram.com/max.market.kz | https://2gis.kz/shymkent/firm/70000001063728870 | https://2gis.kz/shymkent/branches/70000001026188724 | https://wa.me/77711363707 | https://2gis.kz/shymkent/firm/70000001026188725 | https://wa.me/77014725520 | https://2gis.kz/shymkent/firm/70000001032175685 | https://wa.me/77717933913 | https://wa.me/77054906300</t>
  </si>
  <si>
    <t>https://2gis.kz/shymkent/firm/70000001063728870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 | https://2gis.kz/shymkent/firm/70000001026188725 | https://2gis.kz/shymkent/firm/70000001032175685</t>
  </si>
  <si>
    <t>brand:247adilet</t>
  </si>
  <si>
    <t>Супермаркет, Продуктовый магазин</t>
  </si>
  <si>
    <t>https://instagram.com/adilet_supermarket | https://2gis.kz/shymkent/firm/70000001101873641 | https://2gis.kz/shymkent/branches/70000001101873640 | https://wa.me/77077217478 | https://2gis.kz/shymkent/firm/70000001110110269</t>
  </si>
  <si>
    <t>https://2gis.kz/shymkent/firm/70000001101873641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 | https://2gis.kz/shymkent/firm/70000001110110269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3</t>
  </si>
  <si>
    <t>ind:SHY-0340</t>
  </si>
  <si>
    <t>ind:SHY-0341</t>
  </si>
  <si>
    <t>brand:алатау</t>
  </si>
  <si>
    <t>Супермаркет, Рынок / торговая площадка</t>
  </si>
  <si>
    <t>https://www.openstreetmap.org/node/4465871192 | https://2gis.kz/shymkent/firm/70000001026517250 | https://www.gov.kz/memleket/entities/mti/press/news/details/1054740?lang=ru | https://www.gov.kz/memleket/entities/shymkent-kasipkerlik/press/news/details/464750?lang=ru</t>
  </si>
  <si>
    <t>ind:SHY-0345</t>
  </si>
  <si>
    <t>brand:баянсулу</t>
  </si>
  <si>
    <t>brand:баянсұлу</t>
  </si>
  <si>
    <t>Туран, Аль-Фарабийский</t>
  </si>
  <si>
    <t>+77055680214, +77252540421</t>
  </si>
  <si>
    <t>https://instagram.com/bayansulu.shymkent | https://2gis.kz/shymkent/firm/70000001026084177 | https://2gis.kz/shymkent/branches/70000001026084176 | https://2gis.kz/shymkent/firm/70000001030620833 | https://2gis.kz/shymkent/firm/70000001025820226 | https://2gis.kz/shymkent/firm/70000001025873356</t>
  </si>
  <si>
    <t>https://2gis.kz/shymkent/firm/70000001026084177 | https://www.openstreetmap.org/way/111996850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 | https://2gis.kz/shymkent/firm/70000001030620833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2 | https://2gis.kz/shymkent/firm/70000001025820226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 | https://2gis.kz/shymkent/firm/70000001025873356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3</t>
  </si>
  <si>
    <t>brand:грамад</t>
  </si>
  <si>
    <t>https://www.openstreetmap.org/node/3773500308 | https://www.openstreetmap.org/node/10857482310</t>
  </si>
  <si>
    <t>ind:SHY-0350</t>
  </si>
  <si>
    <t>brand:дархан</t>
  </si>
  <si>
    <t>https://www.openstreetmap.org/node/1458043958 | https://2gis.kz/shymkent/firm/70000001026632882 | https://www.openstreetmap.org/way/466406388 | https://www.openstreetmap.org/way/466406390 | https://www.gov.kz/memleket/entities/mti/press/news/details/1054740?lang=ru | https://www.gov.kz/memleket/entities/shymkent-kasipkerlik/press/news/details/464750?lang=ru</t>
  </si>
  <si>
    <t>ind:SHY-0352</t>
  </si>
  <si>
    <t>ind:SHY-0354</t>
  </si>
  <si>
    <t>ind:SHY-0355</t>
  </si>
  <si>
    <t>https://2gis.kz/shymkent/firm/70000001025819085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</t>
  </si>
  <si>
    <t>ind:SHY-0356</t>
  </si>
  <si>
    <t>https://2gis.kz/shymkent/firm/70000001025765601 | https://www.openstreetmap.org/relation/1804637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</t>
  </si>
  <si>
    <t>ind:SHY-0358</t>
  </si>
  <si>
    <t>https://2gis.kz/shymkent/firm/70000001067332793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</t>
  </si>
  <si>
    <t>ind:SHY-0359</t>
  </si>
  <si>
    <t>ind:SHY-0362</t>
  </si>
  <si>
    <t>ind:SHY-0363</t>
  </si>
  <si>
    <t>https://www.openstreetmap.org/node/4085841115 | https://www.openstreetmap.org/way/369842550</t>
  </si>
  <si>
    <t>brand:сайман</t>
  </si>
  <si>
    <t>+77081267430, +77026535595, +77771930830, +77475565589</t>
  </si>
  <si>
    <t>https://2gis.kz/shymkent/firm/70000001026495301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 | https://2gis.kz/shymkent/firm/70000001104457222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2</t>
  </si>
  <si>
    <t>brand:светофор</t>
  </si>
  <si>
    <t>Аль-Фарабийский, Каратауский, Абайский, Туран</t>
  </si>
  <si>
    <t>+77252610212, +77252610544, +77014795451, +77077217478</t>
  </si>
  <si>
    <t>https://instagram.com/svetofor_yubileyka | https://2gis.kz/shymkent/firm/70000001086902380 | https://2gis.kz/shymkent/branches/70000001031475104 | https://instagram.com/svetofor.shymkent | https://2gis.kz/shymkent/firm/70000001031475105 | https://instagram.com/svetofor_shym_tolemetova | https://2gis.kz/shymkent/firm/70000001049038460 | https://2gis.kz/shymkent/firm/70000001080247672</t>
  </si>
  <si>
    <t>https://2gis.kz/shymkent/firm/70000001086902380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 | https://2gis.kz/shymkent/firm/70000001031475105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 | https://2gis.kz/shymkent/firm/70000001049038460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 | https://2gis.kz/shymkent/firm/70000001105766997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2 | https://2gis.kz/shymkent/firm/70000001080247672</t>
  </si>
  <si>
    <t>ind:SHY-0369</t>
  </si>
  <si>
    <t>ind:SHY-0370</t>
  </si>
  <si>
    <t>https://www.openstreetmap.org/node/4105332789 | https://2gis.kz/shymkent/firm/70000001026081158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</t>
  </si>
  <si>
    <t>ind:SHY-0371</t>
  </si>
  <si>
    <t>https://2gis.kz/shymkent/firm/70000001060805391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</t>
  </si>
  <si>
    <t>ind:SHY-0372</t>
  </si>
  <si>
    <t>ind:SHY-0373</t>
  </si>
  <si>
    <t>ind:SHY-0374</t>
  </si>
  <si>
    <t>https://www.openstreetmap.org/node/3914654291 | https://2gis.kz/shymkent/firm/70000001026611559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</t>
  </si>
  <si>
    <t>ind:SHY-0375</t>
  </si>
  <si>
    <t>ind:SHY-0376</t>
  </si>
  <si>
    <t>ind:SHY-0377</t>
  </si>
  <si>
    <t>ind:SHY-0378</t>
  </si>
  <si>
    <t>ind:SHY-0379</t>
  </si>
  <si>
    <t>ind:SHY-0380</t>
  </si>
  <si>
    <t>ind:SHY-0381</t>
  </si>
  <si>
    <t>ind:SHY-0382</t>
  </si>
  <si>
    <t>https://2gis.kz/shymkent/firm/70000001095380223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</t>
  </si>
  <si>
    <t>ind:SHY-0383</t>
  </si>
  <si>
    <t>ind:SHY-0384</t>
  </si>
  <si>
    <t>ind:SHY-0385</t>
  </si>
  <si>
    <t>brand:fmart</t>
  </si>
  <si>
    <t>Енбекшинский, Аль-Фарабийский, Туран, Абайский, Каратауский</t>
  </si>
  <si>
    <t>+77777670011, +7 777 767 0011</t>
  </si>
  <si>
    <t>http://taplink.cc/fmart.kz?fbclid=PAZXh0bgNhZW0CMTEAAac0jiNxLyGh3bOcVcZL8EKz2Ey5MdOjGTi_VM1CGKVrVdPXytihzWz_XDun4w_aem_ak5dzaaUSeNN6rFABVmrug | https://instagram.com/fmart.kz | https://t.me/fmart_kz | https://2gis.kz/shymkent/firm/70000001091415166 | https://2gis.kz/shymkent/branches/70000001075900534 | https://facebook.com/fmarrt.kz | https://wa.me/77777670011 | https://2gis.kz/shymkent/firm/70000001075900535 | https://2gis.kz/shymkent/firm/70000001094432769 | https://2gis.kz/shymkent/firm/70000001110002135 | https://2gis.kz/shymkent/firm/70000001082456370 | https://2gis.kz/shymkent/firm/70000001110467831</t>
  </si>
  <si>
    <t>https://2gis.kz/shymkent/firm/70000001091415166 | https://www.openstreetmap.org/node/12881062629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 | https://2gis.kz/shymkent/firm/70000001075900535 | https://www.openstreetmap.org/node/4595967289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 | https://2gis.kz/shymkent/firm/70000001094432769 | https://www.openstreetmap.org/node/12881062630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 | https://2gis.kz/shymkent/firm/70000001110002135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 | https://www.openstreetmap.org/node/12881062631 | https://2gis.kz/shymkent/firm/70000001082456370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2 | https://2gis.kz/shymkent/firm/70000001110467831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2</t>
  </si>
  <si>
    <t>brand:gramad</t>
  </si>
  <si>
    <t>Супермаркет, Другой прикассовый формат</t>
  </si>
  <si>
    <t>Аль-Фарабийский, Енбекшинский, Туран, Каратауский, Абайский</t>
  </si>
  <si>
    <t>+77777888899, +77087776129, +77076017683</t>
  </si>
  <si>
    <t>http://gramad.kz | https://instagram.com/gramad.kz | https://www.gramad.kz/ | https://2gis.kz/shymkent/firm/70000001043656373 | https://2gis.kz/shymkent/branches/70000001035716168 | https://wa.me/77087776129 | https://2gis.kz/shymkent/firm/70000001036394687 | https://2gis.kz/shymkent/firm/70000001051530513 | https://2gis.kz/shymkent/firm/70000001035716169 | https://facebook.com/GramadKz | https://2gis.kz/shymkent/firm/70000001061399579 | https://glovoapp.com/ru/kz/shymkent | https://2gis.kz/shymkent/firm/70000001063485049 | https://2gis.kz/shymkent/firm/70000001044416106 | https://2gis.kz/shymkent/firm/70000001060058297 | https://2gis.kz/shymkent/firm/70000001065425156 | https://2gis.kz/shymkent/firm/70000001067413538 | https://2gis.kz/shymkent/firm/70000001080939636 | https://2gis.kz/shymkent/firm/70000001112742070 | https://2gis.kz/shymkent/firm/70000001081847261 | https://2gis.kz/shymkent/firm/70000001115676604 | https://2gis.kz/shymkent/firm/70000001101924227 | https://2gis.kz/shymkent/firm/70000001058927348 | https://2gis.kz/shymkent/firm/70000001084099777 | https://2gis.kz/shymkent/firm/70000001066435539 | https://2gis.kz/shymkent/firm/70000001066006500 | https://2gis.kz/shymkent/firm/70000001067230050 | https://2gis.kz/shymkent/firm/70000001093683280 | https://2gis.kz/shymkent/firm/70000001065650751 | https://2gis.kz/shymkent/firm/70000001083681007 | https://2gis.kz/shymkent/firm/70000001101985534</t>
  </si>
  <si>
    <t>https://www.openstreetmap.org/node/11779189919 | https://2gis.kz/shymkent/firm/70000001043656373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 | https://2gis.kz/shymkent/firm/70000001036394687 | https://2gis.kz/shymkent/firm/70000001051530513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 | https://2gis.kz/shymkent/firm/70000001035716169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 | https://2gis.kz/shymkent/firm/70000001061399579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 | https://2gis.kz/shymkent/firm/70000001063485049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 | https://2gis.kz/shymkent/firm/70000001044416106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 | https://2gis.kz/shymkent/firm/70000001060058297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3 | https://2gis.kz/shymkent/firm/70000001065425156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3 | https://2gis.kz/shymkent/firm/70000001067413538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4 | https://2gis.kz/shymkent/firm/70000001080939636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2 | https://2gis.kz/shymkent/firm/70000001112742070 | https://2gis.kz/shymkent/firm/70000001081847261 | https://2gis.kz/shymkent/firm/70000001115676604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2 | https://2gis.kz/shymkent/firm/70000001101924227 | https://2gis.kz/shymkent/firm/70000001058927348 | https://2gis.kz/shymkent/firm/70000001084099777 | https://2gis.kz/shymkent/firm/70000001066435539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3 | https://2gis.kz/shymkent/firm/70000001066006500 | https://2gis.kz/shymkent/firm/70000001067230050 | https://2gis.kz/shymkent/firm/70000001093683280 | https://2gis.kz/shymkent/firm/70000001065650751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4 | https://2gis.kz/shymkent/firm/70000001083681007 | https://2gis.kz/shymkent/firm/70000001101985534</t>
  </si>
  <si>
    <t>ind:SHY-0399</t>
  </si>
  <si>
    <t>https://2gis.kz/shymkent/firm/70000001058927713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</t>
  </si>
  <si>
    <t>brand:magnumsuper</t>
  </si>
  <si>
    <t>Туран, Каратауский</t>
  </si>
  <si>
    <t>http://magnum.kz | https://instagram.com/magnum.kz | https://www.magnum.kz/ | https://2gis.kz/shymkent/firm/70000001065096109 | https://2gis.kz/shymkent/branches/70000001044898537 | http://tiktok.com/@magnum.kz | https://youtube.com/@MagnumCashCarrykz | https://wa.me/77763007766 | https://2gis.kz/shymkent/firm/70000001044898538</t>
  </si>
  <si>
    <t>https://2gis.kz/shymkent/firm/70000001065096109 | https://www.openstreetmap.org/node/10799233906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 | https://2gis.kz/shymkent/firm/70000001044898538 | https://www.openstreetmap.org/node/10067094533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</t>
  </si>
  <si>
    <t>ind:SHY-0425</t>
  </si>
  <si>
    <t>https://2gis.kz/shymkent/firm/70000001114961049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</t>
  </si>
  <si>
    <t>ind:SHY-0426</t>
  </si>
  <si>
    <t>https://2gis.kz/shymkent/firm/70000001060943544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</t>
  </si>
  <si>
    <t>ind:SHY-0427</t>
  </si>
  <si>
    <t>ind:SHY-0428</t>
  </si>
  <si>
    <t>https://2gis.kz/shymkent/firm/70000001033257185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</t>
  </si>
  <si>
    <t>ind:SHY-0429</t>
  </si>
  <si>
    <t>https://2gis.kz/shymkent/firm/70000001063193688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</t>
  </si>
  <si>
    <t>ind:SHY-0430</t>
  </si>
  <si>
    <t>https://www.openstreetmap.org/node/9276589438 | https://2gis.kz/shymkent/firm/70000001026009740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</t>
  </si>
  <si>
    <t>brand:turan</t>
  </si>
  <si>
    <t>Аль-Фарабийский, Туран, Каратауский, Енбекшинский</t>
  </si>
  <si>
    <t>+77055680214, +77053688607</t>
  </si>
  <si>
    <t>https://instagram.com/turan_shymkent_ | https://2gis.kz/shymkent/firm/70000001063544169 | https://2gis.kz/shymkent/branches/70000001067121330 | https://wa.me/77759733675 | https://2gis.kz/shymkent/firm/70000001109927748 | https://2gis.kz/shymkent/firm/70000001080252396 | http://www.tiktok.com/@turan_shymkent | https://2gis.kz/shymkent/firm/70000001067121331 | https://2gis.kz/shymkent/firm/70000001080071284</t>
  </si>
  <si>
    <t>https://2gis.kz/shymkent/firm/70000001063544169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 | https://2gis.kz/shymkent/firm/70000001109927748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 | https://2gis.kz/shymkent/firm/70000001080252396 | https://2gis.kz/shymkent/firm/70000001067121331 | https://2gis.kz/shymkent/firm/70000001035042715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4 | https://2gis.kz/shymkent/firm/70000001080071284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/page/2</t>
  </si>
  <si>
    <t>brand:metrocashcarry</t>
  </si>
  <si>
    <t>https://2gis.kz/shymkent/firm/70000001026524367 | https://2gis.kz/shymkent/search/%D0%9F%D1%80%D0%BE%D0%B4%D1%83%D0%BA%D1%82%D0%BE%D0%B2%D1%8B%D0%B5%20%D0%BC%D0%B0%D0%B3%D0%B0%D0%B7%D0%B8%D0%BD%D1%8B</t>
  </si>
  <si>
    <t>ind:SHY-0436</t>
  </si>
  <si>
    <t>ind:SHY-0437</t>
  </si>
  <si>
    <t>ind:SHY-0438</t>
  </si>
  <si>
    <t>ind:SHY-0439</t>
  </si>
  <si>
    <t>ind:SHY-0440</t>
  </si>
  <si>
    <t>https://2gis.kz/shymkent/firm/70000001047402653 | https://www.openstreetmap.org/way/111193322 | https://www.gov.kz/memleket/entities/mti/press/news/details/1054740?lang=ru | https://www.gov.kz/memleket/entities/shymkent-kasipkerlik/press/news/details/464750?lang=ru</t>
  </si>
  <si>
    <t>ind:SHY-0441</t>
  </si>
  <si>
    <t>ind:SHY-0442</t>
  </si>
  <si>
    <t>https://2gis.kz/shymkent/firm/70000001026168022 | https://www.gov.kz/memleket/entities/mti/press/news/details/1054740?lang=ru | https://www.gov.kz/memleket/entities/shymkent-kasipkerlik/press/news/details/464750?lang=ru</t>
  </si>
  <si>
    <t>ind:SHY-0445</t>
  </si>
  <si>
    <t>https://2gis.kz/shymkent/firm/70000001026562725 | https://www.openstreetmap.org/node/10570151660 | https://www.openstreetmap.org/relation/1608208 | https://www.gov.kz/memleket/entities/mti/press/news/details/1054740?lang=ru | https://www.gov.kz/memleket/entities/shymkent-kasipkerlik/press/news/details/464750?lang=ru</t>
  </si>
  <si>
    <t>ind:SHY-0447</t>
  </si>
  <si>
    <t>ind:SHY-0448</t>
  </si>
  <si>
    <t>ind:SHY-0449</t>
  </si>
  <si>
    <t>https://2gis.kz/shymkent/firm/70000001030070155 | https://www.openstreetmap.org/node/10576407776 | https://www.gov.kz/memleket/entities/mti/press/news/details/1054740?lang=ru | https://www.gov.kz/memleket/entities/shymkent-kasipkerlik/press/news/details/464750?lang=ru</t>
  </si>
  <si>
    <t>brand:бекжан</t>
  </si>
  <si>
    <t>Рынок / торговая площадка, Продуктовый магазин</t>
  </si>
  <si>
    <t>+77717800180, +77006473306</t>
  </si>
  <si>
    <t>https://2gis.kz/shymkent/firm/70000001026549953 | https://www.gov.kz/memleket/entities/shymkent-kasipkerlik/press/news/details/464750?lang=ru | https://www.gov.kz/memleket/entities/mti/press/news/details/1054740?lang=ru | https://2gis.kz/shymkent/firm/70000001027251400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5</t>
  </si>
  <si>
    <t>brand:берекерынок</t>
  </si>
  <si>
    <t>ind:SHY-0452</t>
  </si>
  <si>
    <t>https://www.openstreetmap.org/node/1777253415 | https://www.gov.kz/memleket/entities/mti/press/news/details/1054740?lang=ru | https://www.gov.kz/memleket/entities/shymkent-kasipkerlik/press/news/details/464750?lang=ru</t>
  </si>
  <si>
    <t>ind:SHY-0454</t>
  </si>
  <si>
    <t>https://2gis.kz/shymkent/firm/70000001026084034 | https://www.gov.kz/memleket/entities/mti/press/news/details/1054740?lang=ru | https://www.gov.kz/memleket/entities/shymkent-kasipkerlik/press/news/details/464750?lang=ru</t>
  </si>
  <si>
    <t>ind:SHY-0455</t>
  </si>
  <si>
    <t>https://2gis.kz/shymkent/firm/70000001028521177 | https://www.openstreetmap.org/way/1013993159 | https://www.gov.kz/memleket/entities/mti/press/news/details/1054740?lang=ru | https://www.gov.kz/memleket/entities/shymkent-kasipkerlik/press/news/details/464750?lang=ru</t>
  </si>
  <si>
    <t>ind:SHY-0456</t>
  </si>
  <si>
    <t>https://2gis.kz/shymkent/geo/70030076129874126 | https://www.gov.kz/memleket/entities/shymkent-kasipkerlik/press/news/details/464750?lang=ru | https://www.openstreetmap.org/way/111348872 | https://www.gov.kz/memleket/entities/mti/press/news/details/1054740?lang=ru</t>
  </si>
  <si>
    <t>ind:SHY-0457</t>
  </si>
  <si>
    <t>https://2gis.kz/shymkent/geo/22659422863856101 | https://www.gov.kz/memleket/entities/shymkent-kasipkerlik/press/news/details/464750?lang=ru | https://www.gov.kz/memleket/entities/mti/press/news/details/1054740?lang=ru</t>
  </si>
  <si>
    <t>ind:SHY-0458</t>
  </si>
  <si>
    <t>https://2gis.kz/shymkent/firm/70000001025895720 | https://www.openstreetmap.org/way/1410919615 | https://www.gov.kz/memleket/entities/mti/press/news/details/1054740?lang=ru | https://www.gov.kz/memleket/entities/shymkent-kasipkerlik/press/news/details/464750?lang=ru</t>
  </si>
  <si>
    <t>ind:SHY-0459</t>
  </si>
  <si>
    <t>https://2gis.kz/shymkent/geo/70030077137123951 | https://www.gov.kz/memleket/entities/shymkent-kasipkerlik/press/news/details/464750?lang=ru | https://www.gov.kz/memleket/entities/mti/press/news/details/1054740?lang=ru</t>
  </si>
  <si>
    <t>ind:SHY-0460</t>
  </si>
  <si>
    <t>https://2gis.kz/shymkent/firm/70000001026737454 | https://www.openstreetmap.org/node/4215598258 | https://www.gov.kz/memleket/entities/mti/press/news/details/1054740?lang=ru | https://www.gov.kz/memleket/entities/shymkent-kasipkerlik/press/news/details/464750?lang=ru</t>
  </si>
  <si>
    <t>ind:SHY-0461</t>
  </si>
  <si>
    <t>ind:SHY-0462</t>
  </si>
  <si>
    <t>ind:SHY-0463</t>
  </si>
  <si>
    <t>ind:SHY-0464</t>
  </si>
  <si>
    <t>https://2gis.kz/shymkent/firm/70000001026068407 | https://www.openstreetmap.org/node/1323754847 | https://www.gov.kz/memleket/entities/mti/press/news/details/1054740?lang=ru | https://www.gov.kz/memleket/entities/shymkent-kasipkerlik/press/news/details/464750?lang=ru</t>
  </si>
  <si>
    <t>ind:SHY-0465</t>
  </si>
  <si>
    <t>ind:SHY-0466</t>
  </si>
  <si>
    <t>https://2gis.kz/shymkent/firm/70000001027891281 | https://www.openstreetmap.org/node/14004582801 | https://www.gov.kz/memleket/entities/mti/press/news/details/1054740?lang=ru | https://www.gov.kz/memleket/entities/shymkent-kasipkerlik/press/news/details/464750?lang=ru</t>
  </si>
  <si>
    <t>ind:SHY-0467</t>
  </si>
  <si>
    <t>ind:SHY-0468</t>
  </si>
  <si>
    <t>ind:SHY-0469</t>
  </si>
  <si>
    <t>ind:SHY-0470</t>
  </si>
  <si>
    <t>ind:SHY-0471</t>
  </si>
  <si>
    <t>ind:SHY-0472</t>
  </si>
  <si>
    <t>https://www.openstreetmap.org/node/1506804213 | https://www.openstreetmap.org/way/466418996</t>
  </si>
  <si>
    <t>brand:аdal</t>
  </si>
  <si>
    <t>+77710197007, +77710197002, +77710197006, +7 800 0700197</t>
  </si>
  <si>
    <t>https://2gis.kz/shymkent/firm/70000001030262245 | https://www.openstreetmap.org/node/4066184748 | https://www.openstreetmap.org/way/466455155 | https://2gis.kz/shymkent/firm/70000001027708359 | https://www.openstreetmap.org/way/706144324 | https://2gis.kz/shymkent/firm/70000001027392464 | https://www.openstreetmap.org/node/10961125907</t>
  </si>
  <si>
    <t>brand:бейбарс</t>
  </si>
  <si>
    <t>АЗС, АГЗС/ГАЗС</t>
  </si>
  <si>
    <t>https://www.openstreetmap.org/node/1507566715 | https://www.openstreetmap.org/node/1458043952</t>
  </si>
  <si>
    <t>brand:бек</t>
  </si>
  <si>
    <t>https://2gis.kz/shymkent/firm/70000001027012030 | https://www.openstreetmap.org/node/3702462660</t>
  </si>
  <si>
    <t>brand:газпромнефтьазс</t>
  </si>
  <si>
    <t>https://www.openstreetmap.org/node/9433745042 | https://www.openstreetmap.org/node/9433745041 | https://www.openstreetmap.org/node/9433745038 | https://www.openstreetmap.org/node/6690793485 | https://www.openstreetmap.org/way/1029478598</t>
  </si>
  <si>
    <t>brand:газпромнефть</t>
  </si>
  <si>
    <t>https://2gis.kz/shymkent/firm/70000001026542746 | https://www.openstreetmap.org/way/466406394 | https://2gis.kz/shymkent/firm/70000001050774170 | https://2gis.kz/shymkent/firm/70000001025975995 | https://www.openstreetmap.org/node/1606751775 | https://2gis.kz/shymkent/firm/70000001025886869 | https://www.openstreetmap.org/node/2239522071 | https://www.openstreetmap.org/way/166826176 | https://2gis.kz/shymkent/firm/70000001113062119 | https://www.openstreetmap.org/way/134873829 | https://www.openstreetmap.org/node/3027247380 | https://2gis.kz/shymkent/firm/70000001088728217 | https://www.openstreetmap.org/way/556044853</t>
  </si>
  <si>
    <t>ind:SHY-0491</t>
  </si>
  <si>
    <t>ind:SHY-0492</t>
  </si>
  <si>
    <t>ind:SHY-0493</t>
  </si>
  <si>
    <t>ind:SHY-0494</t>
  </si>
  <si>
    <t>ind:SHY-0495</t>
  </si>
  <si>
    <t>https://www.openstreetmap.org/node/1506804216 | https://www.openstreetmap.org/way/466422495</t>
  </si>
  <si>
    <t>ind:SHY-0496</t>
  </si>
  <si>
    <t>https://www.openstreetmap.org/node/1446285010 | https://www.openstreetmap.org/way/662336840</t>
  </si>
  <si>
    <t>brand:казмунайгаз</t>
  </si>
  <si>
    <t>+7 (7252) 27-43-88, +7 800 0800911</t>
  </si>
  <si>
    <t>https://www.openstreetmap.org/node/4066184709 | https://www.openstreetmap.org/way/466393596</t>
  </si>
  <si>
    <t>ind:SHY-0498</t>
  </si>
  <si>
    <t>brand:мураз</t>
  </si>
  <si>
    <t>https://2gis.kz/shymkent/firm/70000001080853305 | https://2gis.kz/shymkent/firm/70000001037820035 | https://www.openstreetmap.org/way/1410919609 | https://2gis.kz/shymkent/firm/70000001090745917 | https://2gis.kz/shymkent/firm/70000001080853316 | https://2gis.kz/shymkent/firm/70000001025794179 | https://2gis.kz/shymkent/firm/70000001086911573 | https://www.openstreetmap.org/way/114769147 | https://2gis.kz/shymkent/firm/70000001037820276 | https://www.openstreetmap.org/node/1453372741 | https://2gis.kz/shymkent/firm/70000001030800417 | https://www.openstreetmap.org/way/117840430 | https://2gis.kz/shymkent/firm/70000001065570893</t>
  </si>
  <si>
    <t>ind:SHY-0503</t>
  </si>
  <si>
    <t>ind:SHY-0504</t>
  </si>
  <si>
    <t>brand:саттыжол</t>
  </si>
  <si>
    <t>https://www.openstreetmap.org/node/4464672191 | https://www.openstreetmap.org/way/466679141</t>
  </si>
  <si>
    <t>brand:оңтүстікгаз</t>
  </si>
  <si>
    <t>https://2gis.kz/shymkent/firm/70000001067181482 | https://2gis.kz/shymkent/firm/70000001106094978 | https://www.openstreetmap.org/node/1458043968</t>
  </si>
  <si>
    <t>brand:сигма</t>
  </si>
  <si>
    <t>ind:SHY-0510</t>
  </si>
  <si>
    <t>ind:SHY-0511</t>
  </si>
  <si>
    <t>https://www.openstreetmap.org/node/1519534806 | https://www.openstreetmap.org/way/466412062</t>
  </si>
  <si>
    <t>brand:улыорда</t>
  </si>
  <si>
    <t>https://www.openstreetmap.org/node/1693054120 | https://www.openstreetmap.org/way/466419004 | https://www.openstreetmap.org/way/112176829</t>
  </si>
  <si>
    <t>brand:ұлыорда</t>
  </si>
  <si>
    <t>https://2gis.kz/shymkent/firm/70000001088196268 | https://www.openstreetmap.org/node/1446285266</t>
  </si>
  <si>
    <t>ind:SHY-0515</t>
  </si>
  <si>
    <t>https://www.openstreetmap.org/node/1479250424 | https://www.openstreetmap.org/way/466418999</t>
  </si>
  <si>
    <t>ind:SHY-0516</t>
  </si>
  <si>
    <t>ind:SHY-0517</t>
  </si>
  <si>
    <t>ind:SHY-0518</t>
  </si>
  <si>
    <t>ind:SHY-0519</t>
  </si>
  <si>
    <t>ind:SHY-0520</t>
  </si>
  <si>
    <t>ind:SHY-0521</t>
  </si>
  <si>
    <t>ind:SHY-0522</t>
  </si>
  <si>
    <t>https://www.openstreetmap.org/node/1519534799 | https://www.openstreetmap.org/way/466419001</t>
  </si>
  <si>
    <t>ind:SHY-0523</t>
  </si>
  <si>
    <t>ind:SHY-0524</t>
  </si>
  <si>
    <t>https://www.openstreetmap.org/node/1519534800 | https://www.openstreetmap.org/way/466418997</t>
  </si>
  <si>
    <t>ind:SHY-0525</t>
  </si>
  <si>
    <t>ind:SHY-0526</t>
  </si>
  <si>
    <t>https://www.openstreetmap.org/node/1455158083 | https://www.openstreetmap.org/way/466406410</t>
  </si>
  <si>
    <t>ind:SHY-0527</t>
  </si>
  <si>
    <t>ind:SHY-0528</t>
  </si>
  <si>
    <t>ind:SHY-0529</t>
  </si>
  <si>
    <t>ind:SHY-0530</t>
  </si>
  <si>
    <t>ind:SHY-0531</t>
  </si>
  <si>
    <t>ind:SHY-0532</t>
  </si>
  <si>
    <t>https://www.openstreetmap.org/node/1288180966 | https://www.openstreetmap.org/way/466464999</t>
  </si>
  <si>
    <t>ind:SHY-0533</t>
  </si>
  <si>
    <t>ind:SHY-0534</t>
  </si>
  <si>
    <t>ind:SHY-0535</t>
  </si>
  <si>
    <t>ind:SHY-0536</t>
  </si>
  <si>
    <t>ind:SHY-0537</t>
  </si>
  <si>
    <t>ind:SHY-0538</t>
  </si>
  <si>
    <t>ind:SHY-0539</t>
  </si>
  <si>
    <t>ind:SHY-0540</t>
  </si>
  <si>
    <t>ind:SHY-0541</t>
  </si>
  <si>
    <t>ind:SHY-0542</t>
  </si>
  <si>
    <t>ind:SHY-0543</t>
  </si>
  <si>
    <t>ind:SHY-0544</t>
  </si>
  <si>
    <t>ind:SHY-0545</t>
  </si>
  <si>
    <t>ind:SHY-0546</t>
  </si>
  <si>
    <t>ind:SHY-0547</t>
  </si>
  <si>
    <t>ind:SHY-0548</t>
  </si>
  <si>
    <t>ind:SHY-0549</t>
  </si>
  <si>
    <t>https://www.openstreetmap.org/way/1429195546 | https://www.openstreetmap.org/way/1429195547</t>
  </si>
  <si>
    <t>ind:SHY-0550</t>
  </si>
  <si>
    <t>https://www.openstreetmap.org/node/5763230140 | https://www.openstreetmap.org/way/1429195541 | https://www.openstreetmap.org/way/1429195542</t>
  </si>
  <si>
    <t>brand:beknurgaz</t>
  </si>
  <si>
    <t>ind:SHY-0552</t>
  </si>
  <si>
    <t>ind:SHY-0553</t>
  </si>
  <si>
    <t>ind:SHY-0554</t>
  </si>
  <si>
    <t>brand:helios</t>
  </si>
  <si>
    <t>+77777070075, +77252466108, +77252442807, +77252530257, +77252570762, +77252536216, +77252449369, +77252456474</t>
  </si>
  <si>
    <t>https://2gis.kz/shymkent/firm/70000001028289065 | https://www.openstreetmap.org/node/1506804164 | https://www.openstreetmap.org/way/466412061 | https://2gis.kz/shymkent/firm/70000001026670819 | https://www.openstreetmap.org/node/1643324150 | https://2gis.kz/shymkent/firm/70000001026161595 | https://www.openstreetmap.org/node/1446285314 | https://2gis.kz/shymkent/firm/70000001066595760 | https://2gis.kz/shymkent/firm/70000001112744951 | https://2gis.kz/shymkent/firm/70000001026120602 | https://2gis.kz/shymkent/firm/70000001026718249 | https://www.openstreetmap.org/way/111193304 | https://2gis.kz/shymkent/firm/70000001026087078 | https://www.openstreetmap.org/node/1446285319 | https://2gis.kz/shymkent/firm/70000001025927657 | https://www.openstreetmap.org/node/1424950987 | https://2gis.kz/shymkent/firm/70000001025886759 | https://www.openstreetmap.org/node/3410321883 | https://2gis.kz/shymkent/firm/70000001026004375 | https://www.openstreetmap.org/way/1217743021 | https://2gis.kz/shymkent/firm/70000001027396758 | https://www.openstreetmap.org/node/3724815954 | https://www.openstreetmap.org/way/368629217</t>
  </si>
  <si>
    <t>brand:гелиос</t>
  </si>
  <si>
    <t>ind:SHY-0569</t>
  </si>
  <si>
    <t>ind:SHY-0570</t>
  </si>
  <si>
    <t>https://www.openstreetmap.org/node/1519534665 | https://www.openstreetmap.org/way/370016530</t>
  </si>
  <si>
    <t>brand:qazpetro</t>
  </si>
  <si>
    <t>https://2gis.kz/shymkent/firm/70000001040550957 | https://www.openstreetmap.org/way/1224175483</t>
  </si>
  <si>
    <t>brand:qazaqoil</t>
  </si>
  <si>
    <t>https://2gis.kz/shymkent/firm/70000001043256863 | https://www.openstreetmap.org/node/1288180950 | https://www.openstreetmap.org/node/1446285045 | https://2gis.kz/shymkent/firm/70000001090143101 | https://www.openstreetmap.org/node/12964362470 | https://2gis.kz/shymkent/firm/70000001110348021 | https://2gis.kz/shymkent/firm/70000001110537780 | https://2gis.kz/shymkent/firm/70000001105816425 | https://2gis.kz/shymkent/firm/70000001077526672 | https://2gis.kz/shymkent/firm/70000001081065764 | https://www.openstreetmap.org/way/412484129 | https://2gis.kz/shymkent/firm/70000001082061286 | https://www.openstreetmap.org/node/10792604494</t>
  </si>
  <si>
    <t>ind:SHY-0581</t>
  </si>
  <si>
    <t>https://2gis.kz/shymkent/firm/70000001059576497 | https://www.openstreetmap.org/node/9348833855</t>
  </si>
  <si>
    <t>brand:rospromneft</t>
  </si>
  <si>
    <t>https://2gis.kz/shymkent/firm/70000001067863749 | https://www.openstreetmap.org/way/661233417</t>
  </si>
  <si>
    <t>brand:royalpetrol</t>
  </si>
  <si>
    <t>https://2gis.kz/shymkent/firm/70000001111763578 | https://2gis.kz/shymkent/firm/70000001095719421 | https://www.openstreetmap.org/way/166826172 | https://2gis.kz/shymkent/firm/70000001100841348 | https://2gis.kz/shymkent/firm/70000001102937162 | https://www.openstreetmap.org/way/660982261 | https://2gis.kz/shymkent/firm/70000001095535380</t>
  </si>
  <si>
    <t>brand:sattizhol</t>
  </si>
  <si>
    <t>https://www.openstreetmap.org/node/1519534805 | https://www.openstreetmap.org/way/466419000 | https://2gis.kz/shymkent/firm/70000001027391307 | https://www.openstreetmap.org/node/1506336084 | https://2gis.kz/shymkent/firm/70000001027446287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5 | https://2gis.kz/shymkent/firm/70000001025941959</t>
  </si>
  <si>
    <t>brand:sinooil</t>
  </si>
  <si>
    <t>+7 800 0700180, 88000700180</t>
  </si>
  <si>
    <t>https://www.openstreetmap.org/node/11259474205 | https://2gis.kz/shymkent/firm/70000001028604024 | https://www.openstreetmap.org/node/1506803844 | https://www.openstreetmap.org/way/466419002 | https://2gis.kz/shymkent/firm/70000001028653312 | https://www.openstreetmap.org/node/1446285288 | https://2gis.kz/shymkent/firm/70000001036373654 | https://www.openstreetmap.org/node/11259474207 | https://2gis.kz/shymkent/firm/70000001094342274 | https://www.openstreetmap.org/node/11259474231 | https://www.openstreetmap.org/node/11259474208 | https://2gis.kz/shymkent/firm/70000001026045899 | https://www.openstreetmap.org/way/113660320 | https://2gis.kz/shymkent/firm/70000001026044943 | https://www.openstreetmap.org/node/3702462689 | https://2gis.kz/shymkent/firm/70000001025877075 | https://www.openstreetmap.org/way/123253198 | https://2gis.kz/shymkent/firm/70000001026151064 | https://www.openstreetmap.org/node/3730239628 | https://2gis.kz/shymkent/firm/70000001081653172 | https://www.openstreetmap.org/node/11259474203 | https://2gis.kz/shymkent/firm/70000001026074640 | https://www.openstreetmap.org/way/366269445 | https://2gis.kz/shymkent/firm/70000001026500344 | https://www.openstreetmap.org/node/11259474206 | https://2gis.kz/shymkent/firm/70000001081149123 | https://www.openstreetmap.org/way/660755108 | https://www.openstreetmap.org/node/1509767443 | https://www.openstreetmap.org/way/370564493 | https://www.openstreetmap.org/node/1506266825 | https://www.openstreetmap.org/node/3742597573 | https://2gis.kz/shymkent/firm/70000001030297181 | https://www.openstreetmap.org/node/4464558889 | https://www.openstreetmap.org/way/661234403 | https://www.openstreetmap.org/node/11259474199</t>
  </si>
  <si>
    <t>brand:ts</t>
  </si>
  <si>
    <t>+77010718522, +7 7252 37 13 79, +77010716218, +77010716208, +77010917069, +77015435291, +77010716214, +77010264673, +77015435288, +77010716205</t>
  </si>
  <si>
    <t>https://2gis.kz/shymkent/firm/70000001034580093 | https://www.openstreetmap.org/node/12683991056 | https://2gis.kz/shymkent/firm/70000001026021823 | https://www.openstreetmap.org/way/466406406 | https://2gis.kz/shymkent/firm/70000001026008682 | https://www.openstreetmap.org/node/1783506186 | https://2gis.kz/shymkent/firm/70000001025991916 | https://www.openstreetmap.org/node/12683991048 | https://2gis.kz/shymkent/firm/70000001026066526 | https://www.openstreetmap.org/way/113112664 | https://2gis.kz/shymkent/firm/70000001025960582 | https://www.openstreetmap.org/node/12683991057 | https://2gis.kz/shymkent/firm/70000001025951284 | https://www.openstreetmap.org/node/3302025062 | https://2gis.kz/shymkent/firm/70000001026074845 | https://www.openstreetmap.org/way/113102245 | https://2gis.kz/shymkent/firm/70000001026500283 | https://www.openstreetmap.org/node/4677605590 | https://www.openstreetmap.org/way/660991228</t>
  </si>
  <si>
    <t>brand:tarazgazoil</t>
  </si>
  <si>
    <t>https://2gis.kz/shymkent/firm/70000001089561295 | https://2gis.kz/shymkent/firm/70000001098635293 | https://www.openstreetmap.org/node/2239516342 | https://2gis.kz/shymkent/firm/70000001093614406 | https://2gis.kz/shymkent/firm/70000001057636987</t>
  </si>
  <si>
    <t>ind:SHY-0624</t>
  </si>
  <si>
    <t>https://2gis.kz/shymkent/firm/70000001027963806 | https://www.openstreetmap.org/node/4677630689 | https://www.openstreetmap.org/way/660991220</t>
  </si>
  <si>
    <t>brand:азимутгаз</t>
  </si>
  <si>
    <t>https://2gis.kz/shymkent/firm/70000001039290193 | https://2gis.kz/shymkent/firm/70000001034196001</t>
  </si>
  <si>
    <t>ind:SHY-0627</t>
  </si>
  <si>
    <t>brand:аргос</t>
  </si>
  <si>
    <t>https://2gis.kz/shymkent/firm/70000001105782578 | https://2gis.kz/shymkent/firm/70000001033175793 | https://2gis.kz/shymkent/firm/70000001059395982 | https://www.openstreetmap.org/node/1458043980 | https://2gis.kz/shymkent/firm/70000001026486748</t>
  </si>
  <si>
    <t>ind:SHY-0632</t>
  </si>
  <si>
    <t>brand:бейбарсгаз</t>
  </si>
  <si>
    <t>https://2gis.kz/shymkent/firm/70000001027896278 | https://2gis.kz/shymkent/firm/70000001027889126 | https://2gis.kz/shymkent/firm/70000001027889343 | https://2gis.kz/shymkent/firm/70000001026040385 | https://2gis.kz/shymkent/firm/70000001112605642 | https://www.openstreetmap.org/way/114919171 | https://2gis.kz/shymkent/firm/70000001057714192 | https://2gis.kz/shymkent/firm/70000001102985244 | https://2gis.kz/shymkent/firm/70000001027889133 | https://www.openstreetmap.org/way/1037910073 | https://2gis.kz/shymkent/firm/70000001100103936 | https://2gis.kz/shymkent/firm/70000001061310694</t>
  </si>
  <si>
    <t>ind:SHY-0647</t>
  </si>
  <si>
    <t>ind:SHY-0648</t>
  </si>
  <si>
    <t>brand:autogasstations</t>
  </si>
  <si>
    <t>https://2gis.kz/shymkent/firm/70000001043459363 | https://2gis.kz/shymkent/firm/70000001036600364 | https://2gis.kz/shymkent/firm/70000001043456603 | https://www.openstreetmap.org/way/661238032</t>
  </si>
  <si>
    <t>brand:gasenergy</t>
  </si>
  <si>
    <t>+7 800 0700197, 88000800911, +7 800 0801008</t>
  </si>
  <si>
    <t>https://www.openstreetmap.org/node/8742406382 | https://www.openstreetmap.org/node/8742406393 | https://www.openstreetmap.org/node/8742406386 | https://www.openstreetmap.org/node/8742406371 | https://www.openstreetmap.org/node/8742406362 | https://www.openstreetmap.org/node/8749131026 | https://www.openstreetmap.org/node/8749131027 | https://www.openstreetmap.org/node/8742406395 | https://www.openstreetmap.org/node/8742406397 | https://www.openstreetmap.org/node/8749131025 | https://www.openstreetmap.org/node/8742406380 | https://www.openstreetmap.org/node/8742406389 | https://www.openstreetmap.org/node/8742406385 | https://www.openstreetmap.org/way/202975989 | https://www.openstreetmap.org/node/8742406370 | https://www.openstreetmap.org/node/8742406364 | https://www.openstreetmap.org/node/8742406391 | https://www.openstreetmap.org/node/8742406405 | https://2gis.kz/shymkent/firm/70000001052452007 | https://www.openstreetmap.org/node/10961125918 | https://2gis.kz/shymkent/firm/70000001033867298 | https://www.openstreetmap.org/node/1506803847 | https://www.openstreetmap.org/way/370016529 | https://2gis.kz/shymkent/firm/70000001036398414 | https://www.openstreetmap.org/way/1201630052 | https://2gis.kz/shymkent/firm/70000001032133382 | https://www.openstreetmap.org/node/8742406363 | https://www.openstreetmap.org/node/9433745043 | https://2gis.kz/shymkent/firm/70000001052315057 | https://www.openstreetmap.org/node/10961125919</t>
  </si>
  <si>
    <t>ind:SHY-0673</t>
  </si>
  <si>
    <t>ind:SHY-0674</t>
  </si>
  <si>
    <t>https://2gis.kz/shymkent/firm/70000001110577342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</t>
  </si>
  <si>
    <t>brand:аділет</t>
  </si>
  <si>
    <t>+77716144483, +77780010770</t>
  </si>
  <si>
    <t>https://2gis.kz/shymkent/firm/70000001057388959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5 | https://2gis.kz/shymkent/firm/70000001037449177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4</t>
  </si>
  <si>
    <t>ind:SHY-0679</t>
  </si>
  <si>
    <t>https://2gis.kz/shymkent/firm/70000001026116578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2</t>
  </si>
  <si>
    <t>ind:SHY-0680</t>
  </si>
  <si>
    <t>https://2gis.kz/shymkent/firm/70000001025975338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3</t>
  </si>
  <si>
    <t>ind:SHY-0681</t>
  </si>
  <si>
    <t>https://2gis.kz/shymkent/firm/70000001067063666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4</t>
  </si>
  <si>
    <t>brand:айсара</t>
  </si>
  <si>
    <t>+77759629649, +77076878989</t>
  </si>
  <si>
    <t>https://instagram.com/ai_sara_market | https://2gis.kz/shymkent/firm/70000001032383314 | https://2gis.kz/shymkent/branches/70000001032383313 | https://wa.me/77759629649 | https://2gis.kz/shymkent/firm/70000001095664491 | https://wa.me/77076878989</t>
  </si>
  <si>
    <t>https://2gis.kz/shymkent/firm/70000001032383314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 | https://2gis.kz/shymkent/firm/70000001095664491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2</t>
  </si>
  <si>
    <t>ind:SHY-0685</t>
  </si>
  <si>
    <t>https://2gis.kz/shymkent/firm/70000001111101850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5</t>
  </si>
  <si>
    <t>ind:SHY-0686</t>
  </si>
  <si>
    <t>https://2gis.kz/shymkent/firm/70000001083266862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5</t>
  </si>
  <si>
    <t>ind:SHY-0687</t>
  </si>
  <si>
    <t>https://2gis.kz/shymkent/firm/70000001059691608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5</t>
  </si>
  <si>
    <t>ind:SHY-0688</t>
  </si>
  <si>
    <t>https://2gis.kz/shymkent/firm/70000001062333948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5</t>
  </si>
  <si>
    <t>ind:SHY-0689</t>
  </si>
  <si>
    <t>https://2gis.kz/shymkent/firm/70000001026179287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</t>
  </si>
  <si>
    <t>ind:SHY-0693</t>
  </si>
  <si>
    <t>https://2gis.kz/shymkent/firm/70000001034522155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/page/2</t>
  </si>
  <si>
    <t>ind:SHY-0696</t>
  </si>
  <si>
    <t>https://2gis.kz/shymkent/firm/70000001081568226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5</t>
  </si>
  <si>
    <t>ind:SHY-0697</t>
  </si>
  <si>
    <t>https://2gis.kz/shymkent/firm/70000001038266849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4</t>
  </si>
  <si>
    <t>ind:SHY-0698</t>
  </si>
  <si>
    <t>https://2gis.kz/shymkent/firm/70000001105254449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/page/2</t>
  </si>
  <si>
    <t>ind:SHY-0704</t>
  </si>
  <si>
    <t>https://2gis.kz/shymkent/firm/70000001102243379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4</t>
  </si>
  <si>
    <t>ind:SHY-0705</t>
  </si>
  <si>
    <t>https://2gis.kz/shymkent/firm/70000001035217969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</t>
  </si>
  <si>
    <t>ind:SHY-0707</t>
  </si>
  <si>
    <t>https://2gis.kz/shymkent/firm/70000001112819365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5</t>
  </si>
  <si>
    <t>ind:SHY-0708</t>
  </si>
  <si>
    <t>https://2gis.kz/shymkent/firm/70000001110533659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4</t>
  </si>
  <si>
    <t>ind:SHY-0716</t>
  </si>
  <si>
    <t>https://2gis.kz/shymkent/firm/70000001091825110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3</t>
  </si>
  <si>
    <t>ind:SHY-0717</t>
  </si>
  <si>
    <t>https://2gis.kz/shymkent/firm/70000001025880651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3</t>
  </si>
  <si>
    <t>ind:SHY-0719</t>
  </si>
  <si>
    <t>https://2gis.kz/shymkent/firm/70000001101378305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4</t>
  </si>
  <si>
    <t>ind:SHY-0721</t>
  </si>
  <si>
    <t>https://2gis.kz/shymkent/firm/70000001026084163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3</t>
  </si>
  <si>
    <t>ind:SHY-0722</t>
  </si>
  <si>
    <t>https://2gis.kz/shymkent/firm/70000001114961822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2</t>
  </si>
  <si>
    <t>ind:SHY-0723</t>
  </si>
  <si>
    <t>https://2gis.kz/shymkent/firm/70000001030434673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2</t>
  </si>
  <si>
    <t>ind:SHY-0724</t>
  </si>
  <si>
    <t>https://2gis.kz/shymkent/firm/70000001065451990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5</t>
  </si>
  <si>
    <t>ind:SHY-0725</t>
  </si>
  <si>
    <t>https://2gis.kz/shymkent/firm/70000001066247570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4</t>
  </si>
  <si>
    <t>ind:SHY-0726</t>
  </si>
  <si>
    <t>https://2gis.kz/shymkent/firm/70000001048529329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3</t>
  </si>
  <si>
    <t>ind:SHY-0727</t>
  </si>
  <si>
    <t>https://2gis.kz/shymkent/firm/70000001099068062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2</t>
  </si>
  <si>
    <t>ind:SHY-0728</t>
  </si>
  <si>
    <t>https://2gis.kz/shymkent/firm/70000001090690281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3</t>
  </si>
  <si>
    <t>ind:SHY-0729</t>
  </si>
  <si>
    <t>https://2gis.kz/shymkent/firm/70000001090290249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5</t>
  </si>
  <si>
    <t>ind:SHY-0730</t>
  </si>
  <si>
    <t>https://2gis.kz/shymkent/firm/70000001028500801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2</t>
  </si>
  <si>
    <t>ind:SHY-0731</t>
  </si>
  <si>
    <t>https://2gis.kz/shymkent/firm/70000001092042253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3</t>
  </si>
  <si>
    <t>ind:SHY-0732</t>
  </si>
  <si>
    <t>https://2gis.kz/shymkent/firm/70000001030292199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4</t>
  </si>
  <si>
    <t>brand:оптомаркет</t>
  </si>
  <si>
    <t>+77785114068, +77017463446, +77012062315</t>
  </si>
  <si>
    <t>https://2gis.kz/shymkent/firm/70000001116686946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4 | https://2gis.kz/shymkent/firm/70000001077864450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2 | https://2gis.kz/shymkent/firm/70000001100385883</t>
  </si>
  <si>
    <t>ind:SHY-0740</t>
  </si>
  <si>
    <t>https://2gis.kz/shymkent/firm/70000001044847439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4</t>
  </si>
  <si>
    <t>ind:SHY-0743</t>
  </si>
  <si>
    <t>https://2gis.kz/shymkent/firm/70000001044898421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4</t>
  </si>
  <si>
    <t>ind:SHY-0745</t>
  </si>
  <si>
    <t>https://2gis.kz/shymkent/firm/70000001066663374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5</t>
  </si>
  <si>
    <t>ind:SHY-0746</t>
  </si>
  <si>
    <t>https://2gis.kz/shymkent/firm/70000001089079948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4</t>
  </si>
  <si>
    <t>ind:SHY-0748</t>
  </si>
  <si>
    <t>https://2gis.kz/shymkent/firm/70000001105213582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2</t>
  </si>
  <si>
    <t>ind:SHY-0749</t>
  </si>
  <si>
    <t>https://2gis.kz/shymkent/firm/70000001093458426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2</t>
  </si>
  <si>
    <t>ind:SHY-0750</t>
  </si>
  <si>
    <t>https://2gis.kz/shymkent/firm/70000001079742144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</t>
  </si>
  <si>
    <t>ind:SHY-0751</t>
  </si>
  <si>
    <t>https://2gis.kz/shymkent/firm/70000001026787270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/page/2</t>
  </si>
  <si>
    <t>ind:SHY-0752</t>
  </si>
  <si>
    <t>https://2gis.kz/shymkent/firm/70000001028365073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3</t>
  </si>
  <si>
    <t>ind:SHY-0753</t>
  </si>
  <si>
    <t>https://2gis.kz/shymkent/firm/70000001026169412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2</t>
  </si>
  <si>
    <t>ind:SHY-0754</t>
  </si>
  <si>
    <t>https://2gis.kz/shymkent/firm/70000001026093371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</t>
  </si>
  <si>
    <t>ind:SHY-0755</t>
  </si>
  <si>
    <t>https://2gis.kz/shymkent/firm/70000001091361558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5</t>
  </si>
  <si>
    <t>ind:SHY-0756</t>
  </si>
  <si>
    <t>https://2gis.kz/shymkent/firm/70000001040303309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2</t>
  </si>
  <si>
    <t>ind:SHY-0757</t>
  </si>
  <si>
    <t>https://2gis.kz/shymkent/firm/70000001090596441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</t>
  </si>
  <si>
    <t>ind:SHY-0758</t>
  </si>
  <si>
    <t>https://2gis.kz/shymkent/firm/70000001084141243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/page/2</t>
  </si>
  <si>
    <t>ind:SHY-0759</t>
  </si>
  <si>
    <t>https://2gis.kz/shymkent/firm/70000001090290241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2</t>
  </si>
  <si>
    <t>ind:SHY-0760</t>
  </si>
  <si>
    <t>https://2gis.kz/shymkent/firm/70000001102540794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3</t>
  </si>
  <si>
    <t>ind:SHY-0761</t>
  </si>
  <si>
    <t>https://2gis.kz/shymkent/firm/70000001112390514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4</t>
  </si>
  <si>
    <t>ind:SHY-0762</t>
  </si>
  <si>
    <t>https://2gis.kz/shymkent/firm/70000001115604060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5</t>
  </si>
  <si>
    <t>ind:SHY-0763</t>
  </si>
  <si>
    <t>https://2gis.kz/shymkent/firm/70000001099298473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5</t>
  </si>
  <si>
    <t>brand:arzanmarket</t>
  </si>
  <si>
    <t>Абайский, Туран</t>
  </si>
  <si>
    <t>+77026564307, +77053484457</t>
  </si>
  <si>
    <t>https://2gis.kz/shymkent/firm/70000001027868119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3 | https://2gis.kz/shymkent/firm/70000001114007689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4</t>
  </si>
  <si>
    <t>ind:SHY-0766</t>
  </si>
  <si>
    <t>https://2gis.kz/shymkent/firm/70000001025879303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3</t>
  </si>
  <si>
    <t>ind:SHY-0767</t>
  </si>
  <si>
    <t>https://2gis.kz/shymkent/firm/70000001092846439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3</t>
  </si>
  <si>
    <t>ind:SHY-0768</t>
  </si>
  <si>
    <t>https://2gis.kz/shymkent/firm/70000001027723326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5</t>
  </si>
  <si>
    <t>ind:SHY-0769</t>
  </si>
  <si>
    <t>https://2gis.kz/shymkent/firm/70000001109947505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2</t>
  </si>
  <si>
    <t>ind:SHY-0770</t>
  </si>
  <si>
    <t>https://2gis.kz/shymkent/firm/70000001060055861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4</t>
  </si>
  <si>
    <t>ind:SHY-0771</t>
  </si>
  <si>
    <t>https://2gis.kz/shymkent/firm/70000001105766882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4</t>
  </si>
  <si>
    <t>ind:SHY-0772</t>
  </si>
  <si>
    <t>https://2gis.kz/shymkent/firm/70000001092014600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</t>
  </si>
  <si>
    <t>ind:SHY-0773</t>
  </si>
  <si>
    <t>https://2gis.kz/shymkent/firm/70000001090823321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4</t>
  </si>
  <si>
    <t>ind:SHY-0774</t>
  </si>
  <si>
    <t>https://2gis.kz/shymkent/firm/70000001086296142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4</t>
  </si>
  <si>
    <t>ind:SHY-0775</t>
  </si>
  <si>
    <t>https://2gis.kz/shymkent/firm/70000001110537635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3</t>
  </si>
  <si>
    <t>brand:elmart</t>
  </si>
  <si>
    <t>+77013728582, +77027503933</t>
  </si>
  <si>
    <t>https://instagram.com/el_mart.shymkent | https://2gis.kz/shymkent/firm/70000001105638786 | https://2gis.kz/shymkent/branches/70000001026015590 | https://wa.me/77013728582 | https://2gis.kz/shymkent/firm/70000001026015591 | https://wa.me/77027503933</t>
  </si>
  <si>
    <t>https://2gis.kz/shymkent/firm/70000001105638786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3 | https://2gis.kz/shymkent/firm/70000001026015591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3</t>
  </si>
  <si>
    <t>brand:enzo</t>
  </si>
  <si>
    <t>https://instagram.com/enzo.supermarket | https://2gis.kz/shymkent/firm/70000001105526078 | https://2gis.kz/shymkent/branches/70000001097323526 | https://2gis.kz/shymkent/firm/70000001113170824</t>
  </si>
  <si>
    <t>https://2gis.kz/shymkent/firm/70000001105526078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3 | https://2gis.kz/shymkent/firm/70000001113170824</t>
  </si>
  <si>
    <t>brand:flybuy</t>
  </si>
  <si>
    <t>https://2gis.kz/shymkent/firm/70000001079923264 | https://2gis.kz/shymkent/branches/70000001075174292 | https://2gis.kz/shymkent/firm/70000001075174293</t>
  </si>
  <si>
    <t>https://2gis.kz/shymkent/firm/70000001079923264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3 | https://2gis.kz/shymkent/firm/70000001075174293</t>
  </si>
  <si>
    <t>ind:SHY-0781</t>
  </si>
  <si>
    <t>https://2gis.kz/shymkent/firm/70000001105596044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4</t>
  </si>
  <si>
    <t>brand:gramadбақша</t>
  </si>
  <si>
    <t>https://2gis.kz/shymkent/firm/70000001095644862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3</t>
  </si>
  <si>
    <t>ind:SHY-0799</t>
  </si>
  <si>
    <t>https://2gis.kz/shymkent/firm/70000001089527480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4</t>
  </si>
  <si>
    <t>ind:SHY-0800</t>
  </si>
  <si>
    <t>https://2gis.kz/shymkent/firm/70000001103320837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4</t>
  </si>
  <si>
    <t>ind:SHY-0801</t>
  </si>
  <si>
    <t>https://2gis.kz/shymkent/firm/70000001060650245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5</t>
  </si>
  <si>
    <t>ind:SHY-0802</t>
  </si>
  <si>
    <t>https://2gis.kz/shymkent/firm/70000001099304947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5</t>
  </si>
  <si>
    <t>ind:SHY-0803</t>
  </si>
  <si>
    <t>https://2gis.kz/shymkent/firm/70000001055780612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3</t>
  </si>
  <si>
    <t>ind:SHY-0804</t>
  </si>
  <si>
    <t>https://2gis.kz/shymkent/firm/70000001101044755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4</t>
  </si>
  <si>
    <t>ind:SHY-0805</t>
  </si>
  <si>
    <t>https://2gis.kz/shymkent/firm/70000001062151645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2</t>
  </si>
  <si>
    <t>ind:SHY-0806</t>
  </si>
  <si>
    <t>https://2gis.kz/shymkent/firm/70000001099925754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3</t>
  </si>
  <si>
    <t>ind:SHY-0807</t>
  </si>
  <si>
    <t>https://2gis.kz/shymkent/firm/70000001109533009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5</t>
  </si>
  <si>
    <t>ind:SHY-0808</t>
  </si>
  <si>
    <t>https://2gis.kz/shymkent/firm/70000001026997950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/page/2</t>
  </si>
  <si>
    <t>ind:SHY-0809</t>
  </si>
  <si>
    <t>https://2gis.kz/shymkent/firm/70000001110518240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2</t>
  </si>
  <si>
    <t>brand:nursat</t>
  </si>
  <si>
    <t>https://2gis.kz/shymkent/firm/70000001026527350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4</t>
  </si>
  <si>
    <t>ind:SHY-0811</t>
  </si>
  <si>
    <t>https://2gis.kz/shymkent/firm/70000001101595617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/page/2</t>
  </si>
  <si>
    <t>ind:SHY-0812</t>
  </si>
  <si>
    <t>https://2gis.kz/shymkent/firm/70000001033148658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3</t>
  </si>
  <si>
    <t>ind:SHY-0813</t>
  </si>
  <si>
    <t>https://2gis.kz/shymkent/firm/70000001104021624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3</t>
  </si>
  <si>
    <t>brand:promart</t>
  </si>
  <si>
    <t>Каратауский, Аль-Фарабийский</t>
  </si>
  <si>
    <t>https://2gis.kz/shymkent/firm/70000001101691066 | https://2gis.kz/shymkent/branches/70000001094200893 | https://2gis.kz/shymkent/firm/70000001094200894</t>
  </si>
  <si>
    <t>https://2gis.kz/shymkent/firm/70000001101691066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22659345553272746/page/3 | https://2gis.kz/shymkent/firm/70000001094200894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3</t>
  </si>
  <si>
    <t>ind:SHY-0816</t>
  </si>
  <si>
    <t>https://2gis.kz/shymkent/firm/70000001116104553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4</t>
  </si>
  <si>
    <t>ind:SHY-0817</t>
  </si>
  <si>
    <t>https://2gis.kz/shymkent/firm/70000001113813501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3</t>
  </si>
  <si>
    <t>ind:SHY-0818</t>
  </si>
  <si>
    <t>https://2gis.kz/shymkent/firm/70000001102686005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5</t>
  </si>
  <si>
    <t>ind:SHY-0819</t>
  </si>
  <si>
    <t>https://2gis.kz/shymkent/firm/70000001057692292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3</t>
  </si>
  <si>
    <t>ind:SHY-0820</t>
  </si>
  <si>
    <t>https://2gis.kz/shymkent/firm/70000001102010223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3</t>
  </si>
  <si>
    <t>ind:SHY-0821</t>
  </si>
  <si>
    <t>https://2gis.kz/shymkent/firm/70000001078898981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22659345553272915/page/3</t>
  </si>
  <si>
    <t>ind:SHY-0822</t>
  </si>
  <si>
    <t>https://2gis.kz/shymkent/firm/70000001110485690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4</t>
  </si>
  <si>
    <t>ind:SHY-0823</t>
  </si>
  <si>
    <t>https://2gis.kz/shymkent/firm/70000001086838594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4</t>
  </si>
  <si>
    <t>ind:SHY-0824</t>
  </si>
  <si>
    <t>https://2gis.kz/shymkent/firm/70000001028764955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3</t>
  </si>
  <si>
    <t>ind:SHY-0825</t>
  </si>
  <si>
    <t>https://2gis.kz/shymkent/firm/70000001102833677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22659345553271441/page/3</t>
  </si>
  <si>
    <t>ind:SHY-0826</t>
  </si>
  <si>
    <t>https://2gis.kz/shymkent/firm/70000001089673776 | https://2gis.kz/shymkent/search/%D0%A1%D1%83%D0%BF%D0%B5%D1%80%D0%BC%D0%B0%D1%80%D0%BA%D0%B5%D1%82%D1%8B%2C%20%D1%83%D0%BD%D0%B8%D0%B2%D0%B5%D1%80%D1%81%D0%B0%D0%BC%D1%8B%2C%20%D0%BC%D0%B8%D0%BD%D0%B8-%D0%BC%D0%B0%D1%80%D0%BA%D0%B5%D1%82%D1%8B/filters/district_id%3D22659345553272097/page/2</t>
  </si>
  <si>
    <t>ind:SHY-0829</t>
  </si>
  <si>
    <t>https://2gis.kz/shymkent/firm/70000001025991426 | https://2gis.kz/shymkent/search/%D0%A1%D1%83%D0%BF%D0%B5%D1%80%D0%BC%D0%B0%D1%80%D0%BA%D0%B5%D1%82%D1%8B%2C%20%D1%83%D0%BD%D0%B8%D0%B2%D0%B5%D1%80%D1%81%D0%B0%D0%BC%D1%8B%2C%20%D0%BC%D0%B8%D0%BD%D0%B8-%D0%BC%D0%B0%D1%80%D0%BA%D0%B5%D1%82%D1%8B/filters/district_id%3D70030076572844920/page/3</t>
  </si>
  <si>
    <t>brand:нурсат2</t>
  </si>
  <si>
    <t>brand:continentmarket</t>
  </si>
  <si>
    <t>https://2gis.kz/shymkent/firm/70000001100181840 | https://2gis.kz/shymkent/branches/70000001100181803 | https://2gis.kz/shymkent/firm/70000001100181804 | https://2gis.kz/shymkent/firm/70000001100181898 | https://2gis.kz/shymkent/firm/70000001100181869</t>
  </si>
  <si>
    <t>https://2gis.kz/shymkent/firm/70000001100181840 | https://2gis.kz/shymkent/firm/70000001100181804 | https://2gis.kz/shymkent/firm/70000001100181898 | https://2gis.kz/shymkent/firm/70000001100181869</t>
  </si>
  <si>
    <t>Юр. название</t>
  </si>
  <si>
    <t>Топ-10</t>
  </si>
  <si>
    <t>Почему в топ-10</t>
  </si>
  <si>
    <t>Общая пригодность</t>
  </si>
  <si>
    <t>Склад</t>
  </si>
  <si>
    <t>Доставка</t>
  </si>
  <si>
    <t>FMCG-дистрибуция</t>
  </si>
  <si>
    <t>Сеть торговых точек</t>
  </si>
  <si>
    <t>Торговые представители</t>
  </si>
  <si>
    <t>Адрес / склад Шымкент</t>
  </si>
  <si>
    <t>Email</t>
  </si>
  <si>
    <t>Сайт</t>
  </si>
  <si>
    <t>Соцсети</t>
  </si>
  <si>
    <t>Категории</t>
  </si>
  <si>
    <t>Бренды</t>
  </si>
  <si>
    <t>Доказательство склада</t>
  </si>
  <si>
    <t>Доказательство доставки</t>
  </si>
  <si>
    <t>Доказательство ТП</t>
  </si>
  <si>
    <t>География</t>
  </si>
  <si>
    <t>Охват / точки</t>
  </si>
  <si>
    <t>Численные claims</t>
  </si>
  <si>
    <t>Что неизвестно</t>
  </si>
  <si>
    <t>beverage_trade_fbs</t>
  </si>
  <si>
    <t>Beverage Trade / FBS Group</t>
  </si>
  <si>
    <t>ТОО BEVERAGE TRADE</t>
  </si>
  <si>
    <t>Самый прозрачный локальный охват: южный хаб, склад 8 000 м² и 4 400 активных точек в четырёх южных городах; для Шымкента отдельно ранее раскрывалось 2 971.</t>
  </si>
  <si>
    <t>Очень сильный региональный кандидат для напитков и импульсной розницы: южный логистический хаб, традиционная розница, собственная сеть мини-маркетов.</t>
  </si>
  <si>
    <t>Да</t>
  </si>
  <si>
    <t>Шымкент, Каратауский район, жилой массив Тассай, квартал 119, здание 4969/8</t>
  </si>
  <si>
    <t>+7 700 090 00 22</t>
  </si>
  <si>
    <t>info@fbs-group.kz</t>
  </si>
  <si>
    <t>https://fbs-group.kz/divisions/too-beverage-trade</t>
  </si>
  <si>
    <t>вода, лимонады, энергетические и газированные напитки, напитки для HoReCa</t>
  </si>
  <si>
    <t>Компания заявляет склад 8 000 м²; локальная принадлежность к южному хабу указана на корпоративном сайте.</t>
  </si>
  <si>
    <t>Прямая доставка и собственная логистика заявлены группой.</t>
  </si>
  <si>
    <t>Наличие полевой команды следует из модели прямой дистрибуции, но численность по Шымкенту не раскрыта.</t>
  </si>
  <si>
    <t>Шымкент, Туркестан, Сарыагаш, Жетысай</t>
  </si>
  <si>
    <t>Показатели раскрыты только совокупно по четырём южным городам, не по Шымкенту отдельно.</t>
  </si>
  <si>
    <t>active_outlets_four_cities: 4400; market_coverage_percent_claim: 95; warehouse_sqm: 8000; group_active_outlets: 12000; group_vehicles: 158</t>
  </si>
  <si>
    <t>число активных точек именно в Шымкенте; минимальный заказ и отсрочка платежа; свободна ли категория требуемого бренда; частота визитов торговых представителей</t>
  </si>
  <si>
    <t>https://fbs-group.kz/divisions/too-beverage-trade | https://fbs-group.kz/</t>
  </si>
  <si>
    <t>dudar</t>
  </si>
  <si>
    <t>Dudar</t>
  </si>
  <si>
    <t>ТОО «Дудар»</t>
  </si>
  <si>
    <t>18 складов, собственная доставка за 24 часа, полевые coverage-планы и клиентская база от магазинов до АЗС.</t>
  </si>
  <si>
    <t>Национальный FMCG-дистрибьютор с филиалом в Шымкенте, собственными складами, доставкой и полевой командой.</t>
  </si>
  <si>
    <t>Шымкент, ул. Аймауытова, 143 (карточка 2GIS; подтвердить перед визитом)</t>
  </si>
  <si>
    <t>+7 701 027-83-47</t>
  </si>
  <si>
    <t>https://dudar.kz/ru/main</t>
  </si>
  <si>
    <t>продовольственный и непродовольственный FMCG, кондитерские изделия, детское питание, гигиена</t>
  </si>
  <si>
    <t>Ritter Sport, Ярмарка, Черноголовка, Nutrilak</t>
  </si>
  <si>
    <t>18 складов по Казахстану; температурные режимы.</t>
  </si>
  <si>
    <t>Собственный транспорт, доставка в течение 24 часов по заявлению компании.</t>
  </si>
  <si>
    <t>Торговые силы, coverage-планы и master-листы подтверждены официально.</t>
  </si>
  <si>
    <t>Все регионы Казахстана; локальная карточка Шымкента.</t>
  </si>
  <si>
    <t>Более 29 500 клиентов: традиционная розница, сети, АЗС и HoReCa.</t>
  </si>
  <si>
    <t>warehouses: 18; clients_more_than: 29500</t>
  </si>
  <si>
    <t>локальный размер склада; число клиентов только в Шымкенте</t>
  </si>
  <si>
    <t>https://dudar.kz/ru/services | https://dudar.kz/ru/clients | https://2gis.kz/shymkent/firm/70000001052262635/tab/info</t>
  </si>
  <si>
    <t>prima_distribution</t>
  </si>
  <si>
    <t>Prima Distribution</t>
  </si>
  <si>
    <t>ТОО Prima Distribution</t>
  </si>
  <si>
    <t>Филиал и прямой контакт в Шымкенте; 35 000+ точек по Казахстану, сильная торговая и мерчендайзинговая система.</t>
  </si>
  <si>
    <t>Крупный FMCG-дистрибьютор с прямым филиальным контактом в Шымкенте и сильным портфелем кондитерки/кофе.</t>
  </si>
  <si>
    <t>Шымкент, Сайрамское шоссе, 3</t>
  </si>
  <si>
    <t>+7 777 005 73 00, 8 8000 80 80 81</t>
  </si>
  <si>
    <t>shymkent@prima-group.kz, ya.prima-group@yandex.ru</t>
  </si>
  <si>
    <t>https://www.prima-group.kz/</t>
  </si>
  <si>
    <t>кондитерские изделия, шоколад, жевательные конфеты, кофе, продукты питания, товары повседневного спроса</t>
  </si>
  <si>
    <t>Haribo, Storck, MacCoffee, Ferrero, Strauss</t>
  </si>
  <si>
    <t>Локальный адрес филиала подтверждён официальной страницей; тип и площадь помещения не раскрыты.</t>
  </si>
  <si>
    <t>Компания описывает дистрибуционный и логистический сервис, но локальные SLA не опубликованы.</t>
  </si>
  <si>
    <t>Торговая и мерчендайзинговая функция является частью официальной модели; локальная численность неизвестна.</t>
  </si>
  <si>
    <t>34 города по заявлению компании; дополнительно есть южные филиалы в Сарыагаше, Атакенте, Туркестане и Таразе.</t>
  </si>
  <si>
    <t>Национально более 35 000 точек по корпоративному заявлению; Шымкент отдельно не раскрыт.</t>
  </si>
  <si>
    <t>cities: 34; national_outlets_more_than: 35000</t>
  </si>
  <si>
    <t>локальная площадь склада; число локальных торговых представителей; локальный охват; свободные категории</t>
  </si>
  <si>
    <t>https://www.prima-group.kz/ | https://www.prima-group.kz/kontakty/</t>
  </si>
  <si>
    <t>apple_city_corps</t>
  </si>
  <si>
    <t>Apple City Corps</t>
  </si>
  <si>
    <t>Региональное представительство Apple City Corps — Шымкент</t>
  </si>
  <si>
    <t>35 представительств, 27 000+ клиентов, собственные склады и автопарк; шымкентский филиал подтверждён.</t>
  </si>
  <si>
    <t>Крупный национальный FMCG-оператор с зарегистрированным региональным представительством, торговыми командами и собственной логистикой.</t>
  </si>
  <si>
    <t>Шымкент, Сайрамское шоссе, здание 3</t>
  </si>
  <si>
    <t>+7 727 250 05 50</t>
  </si>
  <si>
    <t>info@applecity.kz</t>
  </si>
  <si>
    <t>https://www.applecity.kz/</t>
  </si>
  <si>
    <t>FMCG, продукты питания, напитки, товары у кассы — портфель нужно уточнить</t>
  </si>
  <si>
    <t>Компания заявляет терминалы и склады в каждом городе присутствия; площадь и адрес шымкентского склада отдельно не раскрыты.</t>
  </si>
  <si>
    <t>Собственный грузовой парк и полный цикл доставки заявлены компанией.</t>
  </si>
  <si>
    <t>Локальная торговая функция подтверждается региональным представительством и вакансиями; численность неизвестна.</t>
  </si>
  <si>
    <t>35 региональных представительств по корпоративному заявлению; шымкентское представительство зарегистрировано с 2007 года.</t>
  </si>
  <si>
    <t>27 000+ клиентов/точек относятся ко всей географии компании, не к Шымкенту.</t>
  </si>
  <si>
    <t>regional_offices: 35; clients_more_than: 27000; warehouse_sqm_more_than: 100000; trucks: 376; cars: 532; brands_more_than: 80</t>
  </si>
  <si>
    <t>актуальный продуктовый портфель именно филиала; локальный склад и парк; локальный охват; прямой локальный закупочный контакт</t>
  </si>
  <si>
    <t>https://www.applecity.kz/about | https://www.applecity.kz/contacts | https://kompra.kz/organization/070142012664</t>
  </si>
  <si>
    <t>aspan_asia</t>
  </si>
  <si>
    <t>Aspan Asia</t>
  </si>
  <si>
    <t>ТОО Aspan Asia / южный филиал</t>
  </si>
  <si>
    <t>Сильный южный контур, собственные склады/доставка и релевантный импульсный портфель снеков, печенья и напитков.</t>
  </si>
  <si>
    <t>Южно-казахстанская FMCG-инфраструктура с портфелем Orion, Nongshim и Lotte Chilsung; заявлены каналы традиционной розницы, HoReCa и АЗС.</t>
  </si>
  <si>
    <t>Шымкент, проспект Жибек жолы, 64/6</t>
  </si>
  <si>
    <t>+7 727 398 04 62, +7 777 191 01 11, +7 777 077 71 13</t>
  </si>
  <si>
    <t>info@aspan-asia.kz, a.usenov@aspanasia.com, avkorenkova@aspan-asia.kz</t>
  </si>
  <si>
    <t>https://www.aspan-asia.kz/</t>
  </si>
  <si>
    <t>Choco Pie и печенье, чипсы и крекеры, рамен и снеки, газировка, энергетики, холодный кофе и чай</t>
  </si>
  <si>
    <t>Orion, Nongshim, Lotte Chilsung, DoFood, Master Kan</t>
  </si>
  <si>
    <t>Компания заявляет собственные склады с температурными зонами по Южному Казахстану; площадь конкретно шымкентского объекта неизвестна.</t>
  </si>
  <si>
    <t>Компания заявляет собственную доставку до точки в каждом регионе присутствия.</t>
  </si>
  <si>
    <t>Свежая вакансия в Шымкенте подтверждает торгового представителя каналов B/C.</t>
  </si>
  <si>
    <t>Шымкент, Тараз, Туркестан, Кызылорда, Сарыагаш, другие регионы Казахстана и ЦА</t>
  </si>
  <si>
    <t>Подробные цифры на сайте относятся ко всему Казахстану, не к Шымкенту.</t>
  </si>
  <si>
    <t>warehouses_sqm_south_kazakhstan: 87000; kazakhstan_trade_representatives: 570; kazakhstan_outlets_A: 450; kazakhstan_outlets_B_plus: 2250; kazakhstan_outlets_B_C: 31800; logistics_vehicles_conflict: 48,215</t>
  </si>
  <si>
    <t>локальная площадь склада; локальный парк; количество маршрутов и активных точек Шымкента; разница в определениях автопарка</t>
  </si>
  <si>
    <t>https://www.aspan-asia.kz/ | https://shymkent.hh.kz/vacancies/torgovyj-predstavitel-po-razvitiyu-territorii/polniy_den</t>
  </si>
  <si>
    <t>alidi_kazakhstan</t>
  </si>
  <si>
    <t>ALIDI Kazakhstan</t>
  </si>
  <si>
    <t>ТОО АЛИДИ Казахстан</t>
  </si>
  <si>
    <t>Системный route-to-market, доставка MT/GT, локальные торговые представители и 16 000+ точек по Казахстану.</t>
  </si>
  <si>
    <t>Сильная национальная GT/MT-инфраструктура, доставка, мерчендайзинг и действующая команда Nestlé в Шымкенте.</t>
  </si>
  <si>
    <t>Свежие вакансии указывают ул. Сайрамская, 3; 2GIS отдельно показывает локальный складской центр — точный договорной адрес уточнить.</t>
  </si>
  <si>
    <t>8 800 080 01 25</t>
  </si>
  <si>
    <t>alidi.kz@alidi.com</t>
  </si>
  <si>
    <t>https://www.alidi.kz/ru/</t>
  </si>
  <si>
    <t>продукты питания, детское питание, кондитерские и импульсные товары портфеля Nestlé, товары для животных</t>
  </si>
  <si>
    <t>Национальная складская инфраструктура подтверждается сайтом; площадь шымкентского центра не раскрыта.</t>
  </si>
  <si>
    <t>Официально заявлены доставка MT/GT/e-commerce, складская обработка и ответственное хранение.</t>
  </si>
  <si>
    <t>Свежие вакансии в Шымкенте подтверждают торгового представителя и супервайзера Nestlé.</t>
  </si>
  <si>
    <t>Казахстан; локальная активность Шымкента подтверждена вакансиями.</t>
  </si>
  <si>
    <t>Более 16 000 точек по Казахстану по заявлению компании; локальный охват неизвестен.</t>
  </si>
  <si>
    <t>national_outlets_more_than: 16000; brands_more_than: 100; warehouse_sqm: 18200</t>
  </si>
  <si>
    <t>локальный охват; точный адрес и площадь шымкентского склада; доступность категорий вне действующих контрактов; локальный контакт закупок</t>
  </si>
  <si>
    <t>https://www.alidi.kz/ru/ | https://www.alidi.kz/ru/services-ru/service-logistic-ru/ | https://shymkent.hh.kz/vacancies/torgovyj-predstavitel-fmcg/ot_pryamih_rabotodateley</t>
  </si>
  <si>
    <t>f_food</t>
  </si>
  <si>
    <t>F-Food</t>
  </si>
  <si>
    <t>ТОО F-Food</t>
  </si>
  <si>
    <t>Шымкентская база 2 500 м², кондитерка и снеки, доставка и действующая региональная дилерская сеть.</t>
  </si>
  <si>
    <t>Локальный складской дистрибьютор кондитерских и других импульсных товаров с прямыми иностранными контрактами.</t>
  </si>
  <si>
    <t>Неизвестно</t>
  </si>
  <si>
    <t>Шымкент, ул. Капал батыра, 4А</t>
  </si>
  <si>
    <t>+7 7252 98 21 52, +7 778 463 83 73</t>
  </si>
  <si>
    <t>https://f-food.kz/</t>
  </si>
  <si>
    <t>конфеты, печенье, шоколад, мармелад, попкорн, овсяные сладости</t>
  </si>
  <si>
    <t>Elvan, Komili / Mix&amp;Max, Roshen</t>
  </si>
  <si>
    <t>На собственном сайте заявлена оптовая база и склад 2 500 м² с контролем влажности и температуры.</t>
  </si>
  <si>
    <t>2GIS помечает доставку; условия и собственный транспорт публично не раскрыты.</t>
  </si>
  <si>
    <t>Компания заявляет дистрибуцию по Казахстану через региональных партнёров; локальный офис и база находятся в Шымкенте.</t>
  </si>
  <si>
    <t>warehouse_sqm: 2500</t>
  </si>
  <si>
    <t>локальный охват; штат торговых представителей; парк доставки; актуальные эксклюзивные права; email отдела закупок</t>
  </si>
  <si>
    <t>https://f-food.kz/ | https://2gis.kz/shymkent/search/F-Food</t>
  </si>
  <si>
    <t>bgt_company</t>
  </si>
  <si>
    <t>BGT Company</t>
  </si>
  <si>
    <t>ТОО «BGT Company»</t>
  </si>
  <si>
    <t>Локальная клиентская база 3 087, три склада и девять автомобилей — хороший кандидат для быстрого пилота.</t>
  </si>
  <si>
    <t>Локальный дистрибьютор с собственной базой, автопарком и заявленной клиентской сетью — удобен для быстрого пилота.</t>
  </si>
  <si>
    <t>Шымкент, ул. Рашидова, 14а/7 (актуальная карточка 2GIS)</t>
  </si>
  <si>
    <t>Biznes-17@mail.ru</t>
  </si>
  <si>
    <t>https://biznes-group.kz/</t>
  </si>
  <si>
    <t>продукты быстрого приготовления, напитки, бакалея, соусы и консервация</t>
  </si>
  <si>
    <t>Big Lunch, Здравпродукт, Впрок, Kimono</t>
  </si>
  <si>
    <t>3 операционных склада; 1 000 м² по заявлению компании.</t>
  </si>
  <si>
    <t>9 автомобилей; 2GIS отмечает доставку.</t>
  </si>
  <si>
    <t>Действующая локальная дистрибуция; численность торговых представителей публично не раскрыта.</t>
  </si>
  <si>
    <t>Шымкент и региональный рынок.</t>
  </si>
  <si>
    <t>Заявленная общая клиентская база 3 087.</t>
  </si>
  <si>
    <t>warehouses: 3; warehouse_sqm: 1000; vehicles: 9; clients: 3087</t>
  </si>
  <si>
    <t>актуальный прямой телефон; частота визитов и число активных точек в городе</t>
  </si>
  <si>
    <t>https://biznes-group.kz/ | https://2gis.kz/shymkent/firm/70000001094744329</t>
  </si>
  <si>
    <t>rg_brands</t>
  </si>
  <si>
    <t>RG Brands Kazakhstan</t>
  </si>
  <si>
    <t>Филиал ТОО RG Brands Kazakhstan в г. Шымкент</t>
  </si>
  <si>
    <t>Склад и торговая команда в Шымкенте, плотный охват напитков; ключевой риск — готовность брать внешний бренд.</t>
  </si>
  <si>
    <t>Собственная южная торговая ветка производителя напитков с действующими маршрутами по Шымкенту и Туркестанской области.</t>
  </si>
  <si>
    <t>Шымкент, Сайрамское шоссе, 3, БЦ «Бирлесу», 4 этаж</t>
  </si>
  <si>
    <t>+7 705 997 05 49</t>
  </si>
  <si>
    <t>konstantin.melikhov@brands.kz</t>
  </si>
  <si>
    <t>https://www.rgbrands.com/</t>
  </si>
  <si>
    <t>вода, соки, холодный чай, лимонады, энергетические напитки, молочные напитки</t>
  </si>
  <si>
    <t>A'SU, GRAZIO, PIALA, LAVINA, DA-DA, AVA</t>
  </si>
  <si>
    <t>Филиал и адрес подтверждены корпоративным контактным PDF и раскрытием KASE; площадь склада не опубликована.</t>
  </si>
  <si>
    <t>Собственная дистрибуционная ветка подтверждена структурой филиала; локальные SLA не раскрыты.</t>
  </si>
  <si>
    <t>Вакансии июля 2026 подтверждают торговых представителей и супервайзера по A'SU, GRAZIO, PIALA, LAVINA и DA-DA.</t>
  </si>
  <si>
    <t>Шымкент, Тюлькубас, Арыс, Бозарык, Карабулак, Ленгер</t>
  </si>
  <si>
    <t>локальный охват; площадь и режим склада; условия работы с внешним брендом; канальная эксклюзивность</t>
  </si>
  <si>
    <t>https://kase.kz/files/emitters/RGBK/rgbkf9_KZ2P00009970_290525_ru.pdf | https://api.rgbrands.com/uploads/0/1274-contacts_rgbrands.pdf | https://kz.joblum.com/company/rg-brands-kazakhstan</t>
  </si>
  <si>
    <t>star_brands_asia</t>
  </si>
  <si>
    <t>Star Brands Asia</t>
  </si>
  <si>
    <t>Импульсный портфель снеков и кондитерки, 21 филиал и локальный торговый представитель; требуется подтвердить склад и SLA.</t>
  </si>
  <si>
    <t>Лучшее прямое соответствие импульсной категории: чипсы, сухарики, орехи, попкорн, семечки, кондитерка и лапша; свежая вакансия торгового представителя в Шымкенте.</t>
  </si>
  <si>
    <t>Свежая вакансия указывает Сайрамское шоссе, 6а; в других карточках встречается дом 5 — уточнить до визита.</t>
  </si>
  <si>
    <t>+7 727 382 19 45</t>
  </si>
  <si>
    <t>info-sba@sbasia.net</t>
  </si>
  <si>
    <t>https://starbrands-asia.kz/</t>
  </si>
  <si>
    <t>чипсы, сухарики, арахис и фисташки, попкорн, семечки, кондитерские изделия, лапша быстрого приготовления, морепродукты-снеки</t>
  </si>
  <si>
    <t>Slang, Grizzly, Flint, Hroom, Big Bob, Jet, IZI Corn, Frumi, Noodles Master, Salam, ETI, Akulchev</t>
  </si>
  <si>
    <t>Национальная модель дистрибуции подтверждена сайтом; локальные SLA и транспорт не раскрыты.</t>
  </si>
  <si>
    <t>Наличие локального торгового представителя по кондитерскому направлению подтверждается вакансией, опубликованной 15.07.2026.</t>
  </si>
  <si>
    <t>21 филиал по Казахстану по заявлению компании; локальная активность в Шымкенте подтверждена вакансией.</t>
  </si>
  <si>
    <t>Только национальная цифра, без выделения Шымкента.</t>
  </si>
  <si>
    <t>kazakhstan_branches: 21; trade_representatives: 741; retail_outlets: 48989; snack_skus_more_than: 100</t>
  </si>
  <si>
    <t>локальный склад; точный локальный адрес; число маршрутов и точек Шымкента; условия нового контракта</t>
  </si>
  <si>
    <t>https://starbrands-asia.kz/ | https://dreamjob.ru/employers/3240805/vakansii/135215027</t>
  </si>
  <si>
    <t>altyn_alma_distribution</t>
  </si>
  <si>
    <t>Altyn Alma Distribution</t>
  </si>
  <si>
    <t>Филиал ТОО Altyn Alma Distribution в г. Шымкент, БИН 170341006206</t>
  </si>
  <si>
    <t>Сильный национальный FMCG-портфель; вакансия Ferrero до 10.08.2026 показывает недавнюю локальную коммерческую активность, но юридический статус филиала нужно перепроверить.</t>
  </si>
  <si>
    <t>Шымкент, ул. Акжиек, 168а — текущая карточка; в реестрах также встречается Байдибек би, 168.</t>
  </si>
  <si>
    <t>+7 771 553 25 13, +7 727 339 92 32</t>
  </si>
  <si>
    <t>info@almadi.kz</t>
  </si>
  <si>
    <t>https://altyn-alma.kz/</t>
  </si>
  <si>
    <t>шоколад и кондитерские изделия, напитки, молочные продукты, FMCG</t>
  </si>
  <si>
    <t>Ferrero, Mars, Red Bull, Ehrmann, Kellogg's — исторический/корпоративный портфель, актуальность по филиалу уточнить</t>
  </si>
  <si>
    <t>Компания заявляет 4 распределительных центра национально; локальный склад не подтверждён.</t>
  </si>
  <si>
    <t>Холодовая цепь и хранение заявлены национально; локальные SLA неизвестны.</t>
  </si>
  <si>
    <t>Вакансия торгового представителя отдела Ferrero опубликована 11.06.2026 и была действительна до 10.08.2026.</t>
  </si>
  <si>
    <t>Шымкент указан среди городов присутствия на сайте.</t>
  </si>
  <si>
    <t>branches: 18; mini_branches: 19; distribution_centers: 4; employees_more_than: 4000</t>
  </si>
  <si>
    <t>действующая договорная сторона и БИН; локальный склад; локальный охват; прямой локальный контакт</t>
  </si>
  <si>
    <t>https://altyn-alma.kz/ | https://shymkent.cataloxy-kz.ru/rabota/vacancy1067257329_torgovyy-predstavitel-kategorii-vs-otdela-ferrero.htm | https://2gis.kz/shymkent/geo/22659371323856310/tab/inside | https://kompra.kz/organization/170341006206 | https://zangazet.kz/wp-content/uploads/2025/10/zg2025-79.pdf</t>
  </si>
  <si>
    <t>asia_mr_plus</t>
  </si>
  <si>
    <t>AsiaMR+</t>
  </si>
  <si>
    <t>На сайте — ТОО ASIA MR+; найденная близкая запись ТОО ASIA-MR, БИН 200840015226, требует подтверждения связи</t>
  </si>
  <si>
    <t>Локальный южный дистрибьютор напитков и продуктов с заявленными складами и автопарком; особенно интересен для безалкогольных напитков.</t>
  </si>
  <si>
    <t>Шымкент, ул. Койкелди батыра, 3/5</t>
  </si>
  <si>
    <t>+7 705 411 80 30</t>
  </si>
  <si>
    <t>asia.distr@gmail.com</t>
  </si>
  <si>
    <t>https://asiadistribution.kz/</t>
  </si>
  <si>
    <t>лимонады, морсы, компоты, безалкогольные напитки, консервация, кондитерские изделия по карточке 2GIS</t>
  </si>
  <si>
    <t>Очаково, Натуральные напитки, Green Ray, Царицынские соленья</t>
  </si>
  <si>
    <t>Сайт заявляет собственные логистические склады; 2GIS подтверждает локальную операционную карточку, но размер и право владения не раскрыты.</t>
  </si>
  <si>
    <t>2GIS помечает доставку; сайт заявляет собственный автопарк.</t>
  </si>
  <si>
    <t>Сайт говорит о квалифицированном штате, но торговые представители и маршруты отдельно не подтверждены.</t>
  </si>
  <si>
    <t>Шымкент, Тараз, Алматы</t>
  </si>
  <si>
    <t>точный БИН и договорная сторона; локальный охват; число торговых представителей; размер склада и автопарка; актуальность эксклюзивных прав</t>
  </si>
  <si>
    <t>https://asiadistribution.kz/ | https://2gis.kz/shymkent/firm/70000001036552058/tab/info | https://ba.prg.kz/790000000-shymkent/200840015226-too-asia-mr-aziya-mr/</t>
  </si>
  <si>
    <t>rich_life_distribution</t>
  </si>
  <si>
    <t>Rich Life Distribution</t>
  </si>
  <si>
    <t>ТОО Rich Life Distribution, БИН 100140009919</t>
  </si>
  <si>
    <t>Реальный локальный оптовик со складом в Шымкенте и заявленной доставкой по городу и Туркестанской области; есть снеки и напитки.</t>
  </si>
  <si>
    <t>+7 700 720 53 05, +7 747 343 24 95</t>
  </si>
  <si>
    <t>beshim93@mail.ru</t>
  </si>
  <si>
    <t>https://richlife.kz/</t>
  </si>
  <si>
    <t>снеки, напитки и энергетики, бакалея, печенье, орехи, товары народного потребления</t>
  </si>
  <si>
    <t>Сайт заявляет офис и склад в Шымкенте; юридический адрес совпадает с Капал батыра, 4А.</t>
  </si>
  <si>
    <t>Сайт заявляет ежедневные отгрузки и доставку менее 48 часов по Шымкенту и Туркестанской области.</t>
  </si>
  <si>
    <t>Шымкент, Туркестанская область, 15 регионов по заявлению сайта</t>
  </si>
  <si>
    <t>regions: 15; delivery_hours_less_than: 48; brands_more_than: 10; hit_skus_more_than: 120</t>
  </si>
  <si>
    <t>локальная площадь склада; автопарк; торговые представители; охват точек; актуальные права на бренды</t>
  </si>
  <si>
    <t>https://richlife.kz/ | https://ba.prg.kz/790000000-shymkent/100140009919-too-rich-life-distribution/</t>
  </si>
  <si>
    <t>sls</t>
  </si>
  <si>
    <t>Sales Logistic Service (SLS)</t>
  </si>
  <si>
    <t>Sales Logistic Service</t>
  </si>
  <si>
    <t>Оператор запуска и продвижения FMCG с филиалом в Шымкенте и собственной логистикой; локальный склад и число торговых точек не опубликованы.</t>
  </si>
  <si>
    <t>Филиал в Шымкенте заявлен; точный адрес не опубликован</t>
  </si>
  <si>
    <t>info@sls.com.kz</t>
  </si>
  <si>
    <t>https://sls.com.kz/</t>
  </si>
  <si>
    <t>food и non-food FMCG, напитки, сладости, бакалея, гигиена, товары для дома</t>
  </si>
  <si>
    <t>Неизвестно для Шымкента.</t>
  </si>
  <si>
    <t>Собственная логистическая структура — 23 единицы техники.</t>
  </si>
  <si>
    <t>116 специалистов в Алматы и регионах; 92 партнёра-дистрибьютора.</t>
  </si>
  <si>
    <t>Казахстан и Центральная Азия; собственный филиал в Шымкенте.</t>
  </si>
  <si>
    <t>92 партнёра-дистрибьютора; число обслуживаемых розничных точек неизвестно.</t>
  </si>
  <si>
    <t>vehicles: 23; distributor_partners: 92; staff: 116</t>
  </si>
  <si>
    <t>адрес/площадь шымкентского склада; прямой локальный контакт; число розничных точек</t>
  </si>
  <si>
    <t>foodlink_shymkent</t>
  </si>
  <si>
    <t>FoodLink</t>
  </si>
  <si>
    <t>ТОО FoodLink</t>
  </si>
  <si>
    <t>Микро-оптовик FMCG в Шымкенте; может быть полезен как нишевый региональный партнёр, но требует полной квалификации.</t>
  </si>
  <si>
    <t>Enbek: ул. Сайрамская, 2 1/2; 2GIS-выдачи показывают также ул. Еримбетова, 59 — уточнить.</t>
  </si>
  <si>
    <t>foodlink.kz@gmail.com</t>
  </si>
  <si>
    <t>https://enbek.kz/ru/%D0%BF%D1%80%D0%B5%D0%B4%D0%BF%D1%80%D0%B8%D1%8F%D1%82%D0%B8%D0%B5/foodlink-%D0%B6%D0%B0%D1%83%D0%B0%D0%BF%D0%BA%D0%B5%D1%80%D1%88%D1%96%D0%BB%D1%96%D0%B3%D1%96-%D1%88%D0%B5%D0%BA%D1%82%D0%B5%D1%83%D0%BB%D1%96-%D1%81%D0%B5%D1%80%D1%96%D0%BA%D1%82%D0%B5%D1%81%D1%82%D1%96%D0%B3%D1%96~1034229</t>
  </si>
  <si>
    <t>продукты питания, напитки, табачные изделия по ОКЭД, кондитерские изделия по справочникам</t>
  </si>
  <si>
    <t>2GIS-поиск по кондитерским компаниям помечает доставку, но отдельная карточка не проверена.</t>
  </si>
  <si>
    <t>телефон; актуальный адрес; активность предприятия; ассортимент и бренды; склад; доставка; охват</t>
  </si>
  <si>
    <t>https://enbek.kz/ru/%D0%BF%D1%80%D0%B5%D0%B4%D0%BF%D1%80%D0%B8%D1%8F%D1%82%D0%B8%D0%B5/foodlink-%D0%B6%D0%B0%D1%83%D0%B0%D0%BF%D0%BA%D0%B5%D1%80%D1%88%D1%96%D0%BB%D1%96%D0%B3%D1%96-%D1%88%D0%B5%D0%BA%D1%82%D0%B5%D1%83%D0%BB%D1%96-%D1%81%D0%B5%D1%80%D1%96%D0%BA%D1%82%D0%B5%D1%81%D1%82%D1%96%D0%B3%D1%96~1034229 | https://shymkent.cataloxy-kz.ru/firms/foodlink-company.1773218_c.htm</t>
  </si>
  <si>
    <t>inalca_food_service_kaz</t>
  </si>
  <si>
    <t>Inalca Food Service Kaz</t>
  </si>
  <si>
    <t>ТОО Inalca Food Service Kaz</t>
  </si>
  <si>
    <t>Не традиционная розница, но сильный альтернативный канал HoReCa: официальный сайт подтверждает склад в Шымкенте и собственную мультитемпературную доставку.</t>
  </si>
  <si>
    <t>Нет</t>
  </si>
  <si>
    <t>2GIS: Шымкент, Каратюбинское шоссе, 58; официальный сайт подтверждает наличие склада в городе, но не публикует этот адрес в тексте.</t>
  </si>
  <si>
    <t>+7 727 331 11 13</t>
  </si>
  <si>
    <t>https://inalca.kz/ru/</t>
  </si>
  <si>
    <t>продукты для ресторанов, замороженные и охлаждённые продукты, сухие продукты, HoReCa</t>
  </si>
  <si>
    <t>Официально заявлен один из трёх городских складов в Шымкенте; площадь 2 000+ м² относится к алматинскому комплексу и не переносится на Шымкент.</t>
  </si>
  <si>
    <t>Официально заявлен собственный автопарк с мультитемпературными установками и онлайн-контролем.</t>
  </si>
  <si>
    <t>Алматы, Астана, Шымкент</t>
  </si>
  <si>
    <t>Клиенты — рестораны, отели, кафе и другие предприятия общепита; число точек не раскрыто.</t>
  </si>
  <si>
    <t>локальная площадь склада; локальный парк; число клиентов Шымкента; пригодность конкретного импульсного SKU; локальный коммерческий контакт</t>
  </si>
  <si>
    <t>https://inalca.kz/kz/about/ | https://2gis.kz/shymkent/search/%D0%98%D0%BD%D0%B0%D0%BB%D0%BA%D0%B0%20%D1%84%D1%83%D0%B4%20%D0%A1%D0%B5%D1%80%D0%B2%D0%B8%D1%81%20%D0%9A%D0%B0%D0%B7</t>
  </si>
  <si>
    <t>nurtau_distribution</t>
  </si>
  <si>
    <t>NURTAU Distribution Company</t>
  </si>
  <si>
    <t>ТОО NURTAU Distribution Company, БИН 161040008980</t>
  </si>
  <si>
    <t>Шымкентский производитель-дистрибьютор очень точного импульсного ассортимента: жвачка, леденцы, овсяные конфеты; есть свежие ТП и супервайзеры по региону.</t>
  </si>
  <si>
    <t>Шымкент, жилой массив Тассай, ул. Жибек жолы, 117/2</t>
  </si>
  <si>
    <t>+7 777 106 66 62, +7 700 106 66 62</t>
  </si>
  <si>
    <t>info@ndc.kz</t>
  </si>
  <si>
    <t>http://ndc.kz/</t>
  </si>
  <si>
    <t>жевательная резинка, леденцы, овсяные конфеты, шоколад и сахаристые кондитерские изделия</t>
  </si>
  <si>
    <t>Производственная площадка по адресу подтверждается реестром и каталогом выставки; отдельная площадь склада не раскрыта.</t>
  </si>
  <si>
    <t>В июне–июле 2026 публиковались вакансии торговых представителей и супервайзеров, включая «регион/область».</t>
  </si>
  <si>
    <t>Шымкент; наличие филиалов в Алматы и Кызылорде подтверждается регистрационными карточками, но общий охват не опубликован.</t>
  </si>
  <si>
    <t>oat_candy_types: 13; gum_types: 27; lollipop_types: 15</t>
  </si>
  <si>
    <t>доставка и автопарк; охват точек Шымкента; условия дистрибуции чужого бренда; актуальный сайт ndc.kz</t>
  </si>
  <si>
    <t>https://ndc.kz/contacts/ | https://icatalog.expocentr.ru/ru/exhibitions/d3a90aa7-bdf4-11eb-80cc-a0d3c1fab97f/exhibitors/82829 | https://damu.kz/en/news/detail.php?ELEMENT_ID=266292 | https://ba.prg.kz/616420100-shardara/161040008980-too-nurtau-distribution-company/ | https://kz.najtiraboty.ru/companies/nurtau-distribution-company/</t>
  </si>
  <si>
    <t>pilot_plus</t>
  </si>
  <si>
    <t>Pilot Plus</t>
  </si>
  <si>
    <t>ТОО Pilot Plus, БИН 111240010267</t>
  </si>
  <si>
    <t>Устойчивый локальный дистрибьютор с оптовым профилем; 2GIS показывает чай, кофе, масла, соль/сахар и доставку. Импульсный портфель требует уточнения.</t>
  </si>
  <si>
    <t>Операционная карточка: ул. Койкелди батыра, 2/2; юридический/старый Enbek-адрес: ул. Акназар хана, 2А</t>
  </si>
  <si>
    <t>Pilot_plus@mail.ru</t>
  </si>
  <si>
    <t>https://2gis.kz/shymkent/firm/70000001090148829</t>
  </si>
  <si>
    <t>чай, кофе, масложировая продукция, сахар и соль, широкий опт</t>
  </si>
  <si>
    <t>Публично не подтверждён; локальная база/офис вероятны по масштабу и адресам, но это не доказательство склада.</t>
  </si>
  <si>
    <t>2GIS помечает доставку.</t>
  </si>
  <si>
    <t>Шымкент; надёжных текущих данных по южному охвату нет.</t>
  </si>
  <si>
    <t>телефон; актуальный ассортимент и бренды; склад; автопарк; торговые представители; охват</t>
  </si>
  <si>
    <t>https://2gis.kz/shymkent/firm/70000001090148829 | https://enbek.kz/ru/%D0%BF%D1%80%D0%B5%D0%B4%D0%BF%D1%80%D0%B8%D1%8F%D1%82%D0%B8%D0%B5/pilot-plus-%D0%B6%D0%B0%D1%83%D0%B0%D0%BF%D0%BA%D0%B5%D1%80%D1%88%D1%96%D0%BB%D1%96%D0%B3%D1%96-%D1%88%D0%B5%D0%BA%D1%82%D0%B5%D1%83%D0%BB%D1%96-%D1%81%D0%B5%D1%80%D1%96%D0%BA%D1%82%D0%B5%D1%81%D1%82%D1%96%D0%B3%D1%96~175443 | https://ba.prg.kz/790000000-shymkent/111240010267-too-pilot-plus/</t>
  </si>
  <si>
    <t>shah_import</t>
  </si>
  <si>
    <t>Shah-Import</t>
  </si>
  <si>
    <t>ИП Shah-Import, ИИН 790202403150</t>
  </si>
  <si>
    <t>Давний локальный оптовый партнёр производителя Gummi; подходит для жевательных и других кондитерских импульсных товаров.</t>
  </si>
  <si>
    <t>Шымкент, ул. Ташкентская, 72/1; дилерская страница производителя указывает исторический адрес 76Б</t>
  </si>
  <si>
    <t>+7 7252 45 51 54, +7 7252 45 51 69, +7 775 304 04 04, +7 707 217 74 47, +7 778 555 00 44</t>
  </si>
  <si>
    <t>shah-import@mail.ru, shah-import01@mail.ru</t>
  </si>
  <si>
    <t>https://gummi.ru/en/brands/1065/</t>
  </si>
  <si>
    <t>жевательные конфеты, мармелад, кондитерские изделия, пищевое сырьё, продукты питания оптом</t>
  </si>
  <si>
    <t>Шымкент; статус дилера Gummi указан на сайте производителя.</t>
  </si>
  <si>
    <t>актуальность дилерского договора; склад; доставка; торговая команда; охват; точный операционный адрес</t>
  </si>
  <si>
    <t>https://gummi.ru/en/brands/1065/ | https://yandex.kz/maps/ru/org/shah_import/99089575474/ | https://ba.prg.kz/790000000-shymkent/790202403150-shah-import/</t>
  </si>
  <si>
    <t>snack_distribution</t>
  </si>
  <si>
    <t>Snack Distribution</t>
  </si>
  <si>
    <t>ТОО Snack Distribution, БИН 120440021972; локальная шымкентская карточка может быть филиалом/представителем</t>
  </si>
  <si>
    <t>Категорийно точный лид по снекам, но публичные данные не подтверждают масштаб и действующую локальную команду.</t>
  </si>
  <si>
    <t>Шымкент, Сайрамское шоссе, 6а, 2 этаж</t>
  </si>
  <si>
    <t>https://2gis.kz/shymkent/firm/70000001059479689</t>
  </si>
  <si>
    <t>снеки, оптово-розничная торговля</t>
  </si>
  <si>
    <t>Локальная карточка в Шымкенте; юридическое лицо зарегистрировано в Алматы.</t>
  </si>
  <si>
    <t>прямые контакты; юридическая сторона в Шымкенте; актуальные бренды; склад; доставка; торговая команда; охват</t>
  </si>
  <si>
    <t>https://2gis.kz/shymkent/firm/70000001059479689 | https://ba.prg.kz/750000000-almaty/120440021972-too-snack-distribution-snek-distribushn/</t>
  </si>
  <si>
    <t>tviv_tan_sar</t>
  </si>
  <si>
    <t>TVIV (Тан-Сар)</t>
  </si>
  <si>
    <t>ТОО TVIV, БИН 180140021239; связь с названием «Петропавловск Кондитер» в 2GIS требует уточнения</t>
  </si>
  <si>
    <t>Локальный оптовик/производитель кондитерских изделий среднего размера, точное соответствие импульсной категории.</t>
  </si>
  <si>
    <t>Шымкент, площадка Цемзавода, 26/2; юридический адрес — площадка Цемзавода, 26</t>
  </si>
  <si>
    <t>https://2gis.kz/shymkent/firm/70000001046085860/tab/info</t>
  </si>
  <si>
    <t>сахаристые кондитерские изделия, шоколад, печенье, сухари, одноразовая посуда</t>
  </si>
  <si>
    <t>В отдельных 2GIS-выдачах есть отметка локальной компании, но в карточке TVIV доставка не подтверждена однозначно.</t>
  </si>
  <si>
    <t>Шымкент; остальная география неизвестна.</t>
  </si>
  <si>
    <t>прямой контакт; бренды; склад и доставка; торговая команда; охват; юридическая связь с Петропавловск Кондитер</t>
  </si>
  <si>
    <t>https://2gis.kz/shymkent/firm/70000001046085860/tab/info | https://kompra.kz/organization/180140021239 | https://ba.prg.kz/amp/790000000-shymkent/180140021239-too-tviv/</t>
  </si>
  <si>
    <t>SCANDIC — осторожная оценка ёмкости Шымкента</t>
  </si>
  <si>
    <t>Данные проверены 11.08.2026. Ни одна официальная таблица не считает именно пригодные для SCANDIC точки.</t>
  </si>
  <si>
    <t>Подтверждённые официальные показатели</t>
  </si>
  <si>
    <t>Показатель</t>
  </si>
  <si>
    <t>Значение</t>
  </si>
  <si>
    <t>Единица</t>
  </si>
  <si>
    <t>Дата показателя</t>
  </si>
  <si>
    <t>Статус</t>
  </si>
  <si>
    <t>Как использовать</t>
  </si>
  <si>
    <t>Источник</t>
  </si>
  <si>
    <t>Сеть розничных торговых объектов, включая торговые дома</t>
  </si>
  <si>
    <t>объекта</t>
  </si>
  <si>
    <t>2025-12-31</t>
  </si>
  <si>
    <t>confirmed_published</t>
  </si>
  <si>
    <t>Широкий официальный потолок физической розницы, но не оценка продуктовых или пригодных точек.</t>
  </si>
  <si>
    <t>https://stat.gov.kz/ru/region/shymkent/dynamic-tables/1448/</t>
  </si>
  <si>
    <t>Численность населения Шымкента</t>
  </si>
  <si>
    <t>человек</t>
  </si>
  <si>
    <t>2026-07-01</t>
  </si>
  <si>
    <t>Нормирование показателей на население; не база для прямого расчёта точек.</t>
  </si>
  <si>
    <t>https://stat.gov.kz/ru/region/?param=POPULATION</t>
  </si>
  <si>
    <t>Торговые объекты, распределённые по размеру торговой площади</t>
  </si>
  <si>
    <t>База для стратифицированной выборки по формату; объекты &lt;500 м² дают 2 769 единиц для первичного скрининга.</t>
  </si>
  <si>
    <t>Аптеки</t>
  </si>
  <si>
    <t>Отдельный опциональный канал только если SKU нормативно и коммерчески подходит аптеке; не включать автоматически.</t>
  </si>
  <si>
    <t>https://stat.gov.kz/api/iblock/element/region/201233/file/ru/</t>
  </si>
  <si>
    <t>Наличие АЗС, ГАЗС и АГНКС</t>
  </si>
  <si>
    <t>стационарных объекта</t>
  </si>
  <si>
    <t>Для импульсной розницы проверять только подмножество АЗС с действующим магазином; 259 — число АЗС, а не магазинов при АЗС.</t>
  </si>
  <si>
    <t>Торговые рынки</t>
  </si>
  <si>
    <t>рынков</t>
  </si>
  <si>
    <t>17 рынков — отдельные площадки. 12 094 торговых места нельзя считать 12 094 стабильными торговыми точками: места могут быть непищевыми, пустующими, сезонными и иметь одного владельца на несколько мест.</t>
  </si>
  <si>
    <t>Объекты общественного питания</t>
  </si>
  <si>
    <t>объектов</t>
  </si>
  <si>
    <t>Отдельный вторичный канал; скрининг нужен по формату и возможности продавать упакованный импульсный SKU.</t>
  </si>
  <si>
    <t>Форматы торговли из анализа рынка продовольственной розницы</t>
  </si>
  <si>
    <t>2023</t>
  </si>
  <si>
    <t>Исторический форматный ориентир; документ полезен тем, что описывает продовольственную розницу и высокую частоту посещения магазинов у дома.</t>
  </si>
  <si>
    <t>https://www.gov.kz/memleket/entities/zk/documents/details/858868?lang=ru</t>
  </si>
  <si>
    <t>Реестр владельцев и объектов хранения сжиженного нефтяного газа — строка Шымкента</t>
  </si>
  <si>
    <t>2026-06-23</t>
  </si>
  <si>
    <t>Проверка владельцев LPG и потенциальный список адресов для аудита, но не число магазинов при АГЗС.</t>
  </si>
  <si>
    <t>https://www.gov.kz/memleket/entities/emer/documents/details/1030912?lang=ru</t>
  </si>
  <si>
    <t>Контекст масштаба торговли, не число объектов</t>
  </si>
  <si>
    <t>январь–июнь 2026</t>
  </si>
  <si>
    <t>Только контекст привлекательности рынка; объём денег не переводится в число подходящих точек без данных о среднем sell-out целевого SKU.</t>
  </si>
  <si>
    <t>https://stat.gov.kz/ru/region/shymkent/</t>
  </si>
  <si>
    <t>Скрининговые ориентиры — не SAM и не доверительный интервал</t>
  </si>
  <si>
    <t>Ориентир</t>
  </si>
  <si>
    <t>Формула / происхождение</t>
  </si>
  <si>
    <t>Ограничение</t>
  </si>
  <si>
    <t>Рабочая формулировка</t>
  </si>
  <si>
    <t>исторический форматный ориентир</t>
  </si>
  <si>
    <t>1108 магазинов у дома + 64 крупных продовольственных объекта</t>
  </si>
  <si>
    <t>Категорийная неоднозначность таблицы и другой год; использовать только как sanity check.</t>
  </si>
  <si>
    <t>Нижняя граница скрининга</t>
  </si>
  <si>
    <t>основной скрининговый universe малой и средней розницы</t>
  </si>
  <si>
    <t>1832 объектов &lt;100 м² + 937 объектов 100–500 м²</t>
  </si>
  <si>
    <t>Включает непродовольственные объекты; требует категорийного скрининга.</t>
  </si>
  <si>
    <t>Верхняя граница скрининга</t>
  </si>
  <si>
    <t>широкий официальный потолок всей розницы</t>
  </si>
  <si>
    <t>официальный итог 2025</t>
  </si>
  <si>
    <t>Не считать адресуемым рынком: food/non-food, торговые дома и выборочно оценённые ИП.</t>
  </si>
  <si>
    <t>Широкий потолок</t>
  </si>
  <si>
    <t>Конфликты и неизвестные данные</t>
  </si>
  <si>
    <t>Факт / неизвестное</t>
  </si>
  <si>
    <t>Решение</t>
  </si>
  <si>
    <t>Конфликт</t>
  </si>
  <si>
    <t>4 962 общих розничных объекта против 3 135 объектов в размерной таблице за тот же 2025 год.</t>
  </si>
  <si>
    <t>Причина в файле не объяснена. Не складывать и не считать 3 135 подмножеством с известным коэффициентом полноты. Использовать 4 962 как широкий потолок, 3 135 — как альтернативную форматную базу для выборки.</t>
  </si>
  <si>
    <t>Сумма районов в общей таблице равна 4 964 при городском итоге 4 962; сумма районов в размерной таблице равна 3 134 при городском итоге 3 135.</t>
  </si>
  <si>
    <t>Для верхнего уровня использовать опубликованный городской итог; районные значения применять только для планирования маршрутов с явной пометкой внутреннего расхождения.</t>
  </si>
  <si>
    <t>Категории общепита дают 714 при официальном итоге 713.</t>
  </si>
  <si>
    <t>Не исправлять источник самостоятельно; использовать 713 как опубликованный итог и указывать конфликт.</t>
  </si>
  <si>
    <t>БНС показывает 165 ГАЗС за 2025 год, МЧС — 216 АГЗС в реестре 2026 года.</t>
  </si>
  <si>
    <t>Разные даты, объекты наблюдения и цели реестров. Использовать БНС для статистического знаменателя, МЧС — для поимённой проверки владельцев/адресов; не суммировать.</t>
  </si>
  <si>
    <t>число открытых и уникальных продовольственных точек в границах Шымкента на 2026-08-11</t>
  </si>
  <si>
    <t>Не подставлять фиктивное значение; проверить полем/пилотом.</t>
  </si>
  <si>
    <t>доля точек, продающих конкретную импульсную категорию</t>
  </si>
  <si>
    <t>доля независимых точек, принимающих нового внешнего поставщика</t>
  </si>
  <si>
    <t>число АЗС с полноценным магазином</t>
  </si>
  <si>
    <t>число рыночных торговых мест с постоянным продавцом целевой категории</t>
  </si>
  <si>
    <t>доля кафе/киосков с упакованной импульсной выкладкой</t>
  </si>
  <si>
    <t>локальные outlet counts дистрибьюторов, проверенные независимо</t>
  </si>
  <si>
    <t>дубликаты между БНС, 2GIS, OSM и списками сетей</t>
  </si>
  <si>
    <t>реальная частота заказов, средний sell-out и валовая маржа на одну подходящую точку</t>
  </si>
  <si>
    <t>Блок</t>
  </si>
  <si>
    <t>Издатель / компания</t>
  </si>
  <si>
    <t>URL</t>
  </si>
  <si>
    <t>Подтверждаемый факт</t>
  </si>
  <si>
    <t>SRC-1</t>
  </si>
  <si>
    <t>Официальная статистика</t>
  </si>
  <si>
    <t>Бюро национальной статистики РК, динамический ряд «Сеть предприятий торговли на конец года»</t>
  </si>
  <si>
    <t>SRC-2</t>
  </si>
  <si>
    <t>Бюро национальной статистики РК</t>
  </si>
  <si>
    <t>SRC-3</t>
  </si>
  <si>
    <t>SRC-4</t>
  </si>
  <si>
    <t>SRC-5</t>
  </si>
  <si>
    <t>SRC-6</t>
  </si>
  <si>
    <t>SRC-7</t>
  </si>
  <si>
    <t>SRC-8</t>
  </si>
  <si>
    <t>Агентство по защите и развитию конкуренции РК</t>
  </si>
  <si>
    <t>SRC-9</t>
  </si>
  <si>
    <t>Министерство по чрезвычайным ситуациям РК</t>
  </si>
  <si>
    <t>SRC-10</t>
  </si>
  <si>
    <t>SRC-11</t>
  </si>
  <si>
    <t>Карты / справочники</t>
  </si>
  <si>
    <t>OpenStreetMap contributors / Overpass</t>
  </si>
  <si>
    <t>https://overpass-api.de/api/interpreter</t>
  </si>
  <si>
    <t>Административная область name:ru=Шымкент; shop in supermarket|convenience|grocery|general|kiosk|department_store plus amenity=fuel.</t>
  </si>
  <si>
    <t>observed_directory</t>
  </si>
  <si>
    <t>Это нижний наблюдаемый слой пользовательской карты, а не перепись. Низкое покрытие относительно БНС/2GIS показывает неполноту OSM, но координаты полезны для построения маршрутов и дедупликации.</t>
  </si>
  <si>
    <t>SRC-12</t>
  </si>
  <si>
    <t>https://2gis.kz/shymkent/search/%D0%BF%D1%80%D0%BE%D0%B4%D1%83%D0%BA%D1%82%D0%BE%D0%B2%D1%8B%D0%B9%20%D0%BC%D0%B0%D0%B3%D0%B0%D0%B7%D0%B8%D0%BD</t>
  </si>
  <si>
    <t>2gis_semantic_search_snapshot</t>
  </si>
  <si>
    <t>Числа — семантические поисковые выдачи, а не дедуплицированные категории. Они могут включать рекламу, филиалы, закрытые точки, соседние населённые пункты и объекты другой рубрики. Диапазон 617–620 в одном проходе показывает динамичность выдачи. Не использовать как TAM; использовать для list-building и проверки полноты официально стратифицированной выборки.</t>
  </si>
  <si>
    <t>SRC-13</t>
  </si>
  <si>
    <t>https://2gis.kz/shymkent/</t>
  </si>
  <si>
    <t>2gis_chain_badges</t>
  </si>
  <si>
    <t>Значки числа филиалов полезны для составления списка сетей, но не гарантируют, что каждый филиал находится строго в черте города, открыт, имеет нужный формат или магазин. Не суммировать с БНС и не считать независимыми решениями о закупке.</t>
  </si>
  <si>
    <t>SRC-14</t>
  </si>
  <si>
    <t>Контакты, инфраструктура, категории и/или охват Beverage Trade / FBS Group</t>
  </si>
  <si>
    <t>проверено по публичному источнику</t>
  </si>
  <si>
    <t>Числа компании являются self-reported, если не указано иначе.</t>
  </si>
  <si>
    <t>SRC-15</t>
  </si>
  <si>
    <t>https://fbs-group.kz/</t>
  </si>
  <si>
    <t>SRC-16</t>
  </si>
  <si>
    <t>https://dudar.kz/ru/services</t>
  </si>
  <si>
    <t>Контакты, инфраструктура, категории и/или охват Dudar</t>
  </si>
  <si>
    <t>SRC-17</t>
  </si>
  <si>
    <t>https://dudar.kz/ru/clients</t>
  </si>
  <si>
    <t>SRC-18</t>
  </si>
  <si>
    <t>https://2gis.kz/shymkent/firm/70000001052262635/tab/info</t>
  </si>
  <si>
    <t>SRC-19</t>
  </si>
  <si>
    <t>Контакты, инфраструктура, категории и/или охват Prima Distribution</t>
  </si>
  <si>
    <t>SRC-20</t>
  </si>
  <si>
    <t>https://www.prima-group.kz/kontakty/</t>
  </si>
  <si>
    <t>SRC-21</t>
  </si>
  <si>
    <t>https://www.applecity.kz/about</t>
  </si>
  <si>
    <t>Контакты, инфраструктура, категории и/или охват Apple City Corps</t>
  </si>
  <si>
    <t>SRC-22</t>
  </si>
  <si>
    <t>https://www.applecity.kz/contacts</t>
  </si>
  <si>
    <t>SRC-23</t>
  </si>
  <si>
    <t>https://kompra.kz/organization/070142012664</t>
  </si>
  <si>
    <t>SRC-24</t>
  </si>
  <si>
    <t>Контакты, инфраструктура, категории и/или охват Aspan Asia</t>
  </si>
  <si>
    <t>SRC-25</t>
  </si>
  <si>
    <t>https://shymkent.hh.kz/vacancies/torgovyj-predstavitel-po-razvitiyu-territorii/polniy_den</t>
  </si>
  <si>
    <t>SRC-26</t>
  </si>
  <si>
    <t>Контакты, инфраструктура, категории и/или охват ALIDI Kazakhstan</t>
  </si>
  <si>
    <t>SRC-27</t>
  </si>
  <si>
    <t>https://www.alidi.kz/ru/services-ru/service-logistic-ru/</t>
  </si>
  <si>
    <t>SRC-28</t>
  </si>
  <si>
    <t>https://shymkent.hh.kz/vacancies/torgovyj-predstavitel-fmcg/ot_pryamih_rabotodateley</t>
  </si>
  <si>
    <t>SRC-29</t>
  </si>
  <si>
    <t>Контакты, инфраструктура, категории и/или охват F-Food</t>
  </si>
  <si>
    <t>SRC-30</t>
  </si>
  <si>
    <t>https://2gis.kz/shymkent/search/F-Food</t>
  </si>
  <si>
    <t>SRC-31</t>
  </si>
  <si>
    <t>Контакты, инфраструктура, категории и/или охват BGT Company</t>
  </si>
  <si>
    <t>SRC-32</t>
  </si>
  <si>
    <t>https://2gis.kz/shymkent/firm/70000001094744329</t>
  </si>
  <si>
    <t>SRC-33</t>
  </si>
  <si>
    <t>https://kase.kz/files/emitters/RGBK/rgbkf9_KZ2P00009970_290525_ru.pdf</t>
  </si>
  <si>
    <t>Контакты, инфраструктура, категории и/или охват RG Brands Kazakhstan</t>
  </si>
  <si>
    <t>SRC-34</t>
  </si>
  <si>
    <t>https://api.rgbrands.com/uploads/0/1274-contacts_rgbrands.pdf</t>
  </si>
  <si>
    <t>SRC-35</t>
  </si>
  <si>
    <t>https://kz.joblum.com/company/rg-brands-kazakhstan</t>
  </si>
  <si>
    <t>SRC-36</t>
  </si>
  <si>
    <t>Контакты, инфраструктура, категории и/или охват Star Brands Asia</t>
  </si>
  <si>
    <t>SRC-37</t>
  </si>
  <si>
    <t>https://dreamjob.ru/employers/3240805/vakansii/135215027</t>
  </si>
  <si>
    <t>SRC-38</t>
  </si>
  <si>
    <t>Контакты, инфраструктура, категории и/или охват Altyn Alma Distribution</t>
  </si>
  <si>
    <t>SRC-39</t>
  </si>
  <si>
    <t>https://shymkent.cataloxy-kz.ru/rabota/vacancy1067257329_torgovyy-predstavitel-kategorii-vs-otdela-ferrero.htm</t>
  </si>
  <si>
    <t>SRC-40</t>
  </si>
  <si>
    <t>https://2gis.kz/shymkent/geo/22659371323856310/tab/inside</t>
  </si>
  <si>
    <t>SRC-41</t>
  </si>
  <si>
    <t>https://kompra.kz/organization/170341006206</t>
  </si>
  <si>
    <t>SRC-42</t>
  </si>
  <si>
    <t>https://zangazet.kz/wp-content/uploads/2025/10/zg2025-79.pdf</t>
  </si>
  <si>
    <t>SRC-43</t>
  </si>
  <si>
    <t>Контакты, инфраструктура, категории и/или охват AsiaMR+</t>
  </si>
  <si>
    <t>SRC-44</t>
  </si>
  <si>
    <t>https://2gis.kz/shymkent/firm/70000001036552058/tab/info</t>
  </si>
  <si>
    <t>SRC-45</t>
  </si>
  <si>
    <t>https://ba.prg.kz/790000000-shymkent/200840015226-too-asia-mr-aziya-mr/</t>
  </si>
  <si>
    <t>SRC-46</t>
  </si>
  <si>
    <t>Контакты, инфраструктура, категории и/или охват Rich Life Distribution</t>
  </si>
  <si>
    <t>SRC-47</t>
  </si>
  <si>
    <t>https://ba.prg.kz/790000000-shymkent/100140009919-too-rich-life-distribution/</t>
  </si>
  <si>
    <t>SRC-48</t>
  </si>
  <si>
    <t>Контакты, инфраструктура, категории и/или охват Sales Logistic Service (SLS)</t>
  </si>
  <si>
    <t>SRC-49</t>
  </si>
  <si>
    <t>Контакты, инфраструктура, категории и/или охват FoodLink</t>
  </si>
  <si>
    <t>SRC-50</t>
  </si>
  <si>
    <t>https://shymkent.cataloxy-kz.ru/firms/foodlink-company.1773218_c.htm</t>
  </si>
  <si>
    <t>SRC-51</t>
  </si>
  <si>
    <t>https://inalca.kz/kz/about/</t>
  </si>
  <si>
    <t>Контакты, инфраструктура, категории и/или охват Inalca Food Service Kaz</t>
  </si>
  <si>
    <t>SRC-52</t>
  </si>
  <si>
    <t>https://2gis.kz/shymkent/search/%D0%98%D0%BD%D0%B0%D0%BB%D0%BA%D0%B0%20%D1%84%D1%83%D0%B4%20%D0%A1%D0%B5%D1%80%D0%B2%D0%B8%D1%81%20%D0%9A%D0%B0%D0%B7</t>
  </si>
  <si>
    <t>SRC-53</t>
  </si>
  <si>
    <t>https://ndc.kz/contacts/</t>
  </si>
  <si>
    <t>Контакты, инфраструктура, категории и/или охват NURTAU Distribution Company</t>
  </si>
  <si>
    <t>SRC-54</t>
  </si>
  <si>
    <t>https://icatalog.expocentr.ru/ru/exhibitions/d3a90aa7-bdf4-11eb-80cc-a0d3c1fab97f/exhibitors/82829</t>
  </si>
  <si>
    <t>SRC-55</t>
  </si>
  <si>
    <t>https://damu.kz/en/news/detail.php?ELEMENT_ID=266292</t>
  </si>
  <si>
    <t>SRC-56</t>
  </si>
  <si>
    <t>https://ba.prg.kz/616420100-shardara/161040008980-too-nurtau-distribution-company/</t>
  </si>
  <si>
    <t>SRC-57</t>
  </si>
  <si>
    <t>https://kz.najtiraboty.ru/companies/nurtau-distribution-company/</t>
  </si>
  <si>
    <t>SRC-58</t>
  </si>
  <si>
    <t>Контакты, инфраструктура, категории и/или охват Pilot Plus</t>
  </si>
  <si>
    <t>SRC-59</t>
  </si>
  <si>
    <t>https://enbek.kz/ru/%D0%BF%D1%80%D0%B5%D0%B4%D0%BF%D1%80%D0%B8%D1%8F%D1%82%D0%B8%D0%B5/pilot-plus-%D0%B6%D0%B0%D1%83%D0%B0%D0%BF%D0%BA%D0%B5%D1%80%D1%88%D1%96%D0%BB%D1%96%D0%B3%D1%96-%D1%88%D0%B5%D0%BA%D1%82%D0%B5%D1%83%D0%BB%D1%96-%D1%81%D0%B5%D1%80%D1%96%D0%BA%D1%82%D0%B5%D1%81%D1%82%D1%96%D0%B3%D1%96~175443</t>
  </si>
  <si>
    <t>SRC-60</t>
  </si>
  <si>
    <t>https://ba.prg.kz/790000000-shymkent/111240010267-too-pilot-plus/</t>
  </si>
  <si>
    <t>SRC-61</t>
  </si>
  <si>
    <t>Контакты, инфраструктура, категории и/или охват Shah-Import</t>
  </si>
  <si>
    <t>SRC-62</t>
  </si>
  <si>
    <t>https://yandex.kz/maps/ru/org/shah_import/99089575474/</t>
  </si>
  <si>
    <t>SRC-63</t>
  </si>
  <si>
    <t>https://ba.prg.kz/790000000-shymkent/790202403150-shah-import/</t>
  </si>
  <si>
    <t>SRC-64</t>
  </si>
  <si>
    <t>Контакты, инфраструктура, категории и/или охват Snack Distribution</t>
  </si>
  <si>
    <t>SRC-65</t>
  </si>
  <si>
    <t>https://ba.prg.kz/750000000-almaty/120440021972-too-snack-distribution-snek-distribushn/</t>
  </si>
  <si>
    <t>SRC-66</t>
  </si>
  <si>
    <t>Контакты, инфраструктура, категории и/или охват TVIV (Тан-Сар)</t>
  </si>
  <si>
    <t>SRC-67</t>
  </si>
  <si>
    <t>https://kompra.kz/organization/180140021239</t>
  </si>
  <si>
    <t>SRC-68</t>
  </si>
  <si>
    <t>https://ba.prg.kz/amp/790000000-shymkent/180140021239-too-tviv/</t>
  </si>
  <si>
    <t>Методология, ограничения и следующий шаг</t>
  </si>
  <si>
    <t>Что считается физической точкой</t>
  </si>
  <si>
    <t>Уникальная действующая карточка магазина, минимаркета, супермаркета, рынка или топливной станции в границах Шымкента. Наличие полноценной прикассовой выкладки не предполагается автоматически.</t>
  </si>
  <si>
    <t>Дедупликация</t>
  </si>
  <si>
    <t>Сначала объединялись одинаковые ID 2GIS/OSM, затем карточки с близкими координатами (до 80 м) и совпадающим/включающимся нормализованным названием. 2GIS приоритетен для контактов; сетевые карточки обогащают принадлежность и число филиалов.</t>
  </si>
  <si>
    <t>Что означает 845</t>
  </si>
  <si>
    <t>Наблюдаемый именной/координатный нижний слой list-building. Он не является полной переписью: карты неполны, часть карточек без имени, часть источников может устареть.</t>
  </si>
  <si>
    <t>Что означает 569</t>
  </si>
  <si>
    <t>Идентифицированные организации/бренды, а не проверенные юридические лица. Независимые точки считаются отдельными организациями; подтверждённые и возможные сети объединены по бренду.</t>
  </si>
  <si>
    <t>Оценка ёмкости</t>
  </si>
  <si>
    <t>Публично защищаем только скрининговый коридор 1 172–2 769 форматно близких объектов и широкий потолок 4 962 всей розницы. Реальное число category-eligible точек неизвестно до аудита.</t>
  </si>
  <si>
    <t>Рейтинг A</t>
  </si>
  <si>
    <t>Подтверждены склад, доставка, действующая FMCG-дистрибуция и существующая сеть торговых точек/клиентов.</t>
  </si>
  <si>
    <t>Рейтинг B</t>
  </si>
  <si>
    <t>Хороший ассортимент и логистика, но публично не хватает подтверждения склада, торговых представителей или охвата.</t>
  </si>
  <si>
    <t>Рейтинг C</t>
  </si>
  <si>
    <t>Потенциально подходит, но нужна серьёзная проверка статуса, логистики, retail-channel или готовности брать внешний бренд.</t>
  </si>
  <si>
    <t>Рекомендуемый аудит</t>
  </si>
  <si>
    <t>Проверить 200–300 точек, минимум 30–50 в ключевом страте, по всем пяти районам и форматам. Фиксировать открытость, категорию, кассовую зону, ЛПР, внешнего поставщика, MOQ и график доставки.</t>
  </si>
  <si>
    <t>Рабочая воронка</t>
  </si>
  <si>
    <t>Physical TAM → category-eligible SAM → commercially reachable SOM-12m. SOM считать только по данным пилота: активация, повторный заказ и sell-out.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</si>
</sst>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>
    <font>
      <sz val="11"/>
      <name val="Carlito"/>
    </font>
    <font>
      <b/>
      <sz val="11"/>
      <color rgb="FFFFFFFF"/>
      <name val="Carlito"/>
    </font>
    <font>
      <sz val="9"/>
      <color rgb="FF1F2937"/>
      <name val="Carlito"/>
    </font>
    <font>
      <b/>
      <sz val="18"/>
      <color rgb="FFFFFFFF"/>
      <name val="Carlito"/>
    </font>
    <font>
      <i/>
      <sz val="11"/>
      <color rgb="FF1F2937"/>
      <name val="Carlito"/>
    </font>
    <font>
      <b/>
      <sz val="11"/>
      <color rgb="FF0F766E"/>
      <name val="Carlito"/>
    </font>
    <font>
      <sz val="11"/>
      <color rgb="FF1F2937"/>
      <name val="Carlito"/>
    </font>
    <font>
      <b/>
      <sz val="20"/>
      <color rgb="FF16324F"/>
      <name val="Carlito"/>
    </font>
    <font>
      <b/>
      <sz val="11"/>
      <color rgb="FF1F2937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8F1FA"/>
      </patternFill>
    </fill>
    <fill>
      <patternFill patternType="solid">
        <fgColor rgb="FF0F766E"/>
      </patternFill>
    </fill>
    <fill>
      <patternFill patternType="solid">
        <fgColor rgb="FFDDF4F0"/>
      </patternFill>
    </fill>
    <fill>
      <patternFill patternType="solid">
        <fgColor rgb="FFF5F7F9"/>
      </patternFill>
    </fill>
    <fill>
      <patternFill patternType="solid">
        <fgColor rgb="FFFFF4CC"/>
      </patternFill>
    </fill>
  </fills>
  <borders count="16">
    <border>
      <left/>
      <right/>
      <top/>
      <bottom/>
      <diagonal/>
    </border>
    <border>
      <left style="thin">
        <color rgb="FFD7E0E8"/>
      </left>
      <right style="thin">
        <color rgb="FFD7E0E8"/>
      </right>
      <top style="thin">
        <color rgb="FFD7E0E8"/>
      </top>
      <bottom style="thin">
        <color rgb="FFD7E0E8"/>
      </bottom>
      <diagonal/>
    </border>
    <border>
      <left style="thin">
        <color rgb="FFD7E0E8"/>
      </left>
      <right/>
      <top style="thin">
        <color rgb="FFD7E0E8"/>
      </top>
      <bottom/>
      <diagonal/>
    </border>
    <border>
      <left/>
      <right/>
      <top style="thin">
        <color rgb="FFD7E0E8"/>
      </top>
      <bottom/>
      <diagonal/>
    </border>
    <border>
      <left/>
      <right style="thin">
        <color rgb="FFD7E0E8"/>
      </right>
      <top style="thin">
        <color rgb="FFD7E0E8"/>
      </top>
      <bottom/>
      <diagonal/>
    </border>
    <border>
      <left style="thin">
        <color rgb="FFD7E0E8"/>
      </left>
      <right/>
      <top/>
      <bottom style="thin">
        <color rgb="FFD7E0E8"/>
      </bottom>
      <diagonal/>
    </border>
    <border>
      <left/>
      <right/>
      <top/>
      <bottom style="thin">
        <color rgb="FFD7E0E8"/>
      </bottom>
      <diagonal/>
    </border>
    <border>
      <left/>
      <right style="thin">
        <color rgb="FFD7E0E8"/>
      </right>
      <top/>
      <bottom style="thin">
        <color rgb="FFD7E0E8"/>
      </bottom>
      <diagonal/>
    </border>
    <border>
      <left style="medium">
        <color rgb="FFD6A700"/>
      </left>
      <right/>
      <top style="medium">
        <color rgb="FFD6A700"/>
      </top>
      <bottom/>
      <diagonal/>
    </border>
    <border>
      <left/>
      <right/>
      <top style="medium">
        <color rgb="FFD6A700"/>
      </top>
      <bottom/>
      <diagonal/>
    </border>
    <border>
      <left/>
      <right style="medium">
        <color rgb="FFD6A700"/>
      </right>
      <top style="medium">
        <color rgb="FFD6A700"/>
      </top>
      <bottom/>
      <diagonal/>
    </border>
    <border>
      <left style="medium">
        <color rgb="FFD6A700"/>
      </left>
      <right/>
      <top/>
      <bottom/>
      <diagonal/>
    </border>
    <border>
      <left/>
      <right style="medium">
        <color rgb="FFD6A700"/>
      </right>
      <top/>
      <bottom/>
      <diagonal/>
    </border>
    <border>
      <left style="medium">
        <color rgb="FFD6A700"/>
      </left>
      <right/>
      <top/>
      <bottom style="medium">
        <color rgb="FFD6A700"/>
      </bottom>
      <diagonal/>
    </border>
    <border>
      <left/>
      <right/>
      <top/>
      <bottom style="medium">
        <color rgb="FFD6A700"/>
      </bottom>
      <diagonal/>
    </border>
    <border>
      <left/>
      <right style="medium">
        <color rgb="FFD6A700"/>
      </right>
      <top/>
      <bottom style="medium">
        <color rgb="FFD6A700"/>
      </bottom>
      <diagonal/>
    </border>
  </borders>
  <cellStyleXfs count="2">
    <xf numFmtId="0" fontId="0" fillId="0" borderId="0"/>
    <xf numFmtId="0" fontId="9" fillId="0" borderId="0"/>
  </cellStyleXfs>
  <cellXfs count="31">
    <xf numFmtId="0" fontId="0" fillId="0" borderId="0" xfId="0"/>
    <xf numFmtId="0" fontId="2" fillId="0" borderId="1" xfId="1" applyFont="1" applyBorder="1" applyAlignment="1">
      <alignment vertical="top" wrapText="1"/>
    </xf>
    <xf numFmtId="1" fontId="2" fillId="0" borderId="1" xfId="1" applyNumberFormat="1" applyFont="1" applyBorder="1" applyAlignment="1">
      <alignment vertical="top" wrapText="1"/>
    </xf>
    <xf numFmtId="164" fontId="2" fillId="0" borderId="1" xfId="1" applyNumberFormat="1" applyFont="1" applyBorder="1" applyAlignment="1">
      <alignment vertical="top" wrapText="1"/>
    </xf>
    <xf numFmtId="3" fontId="2" fillId="0" borderId="1" xfId="1" applyNumberFormat="1" applyFont="1" applyBorder="1" applyAlignment="1">
      <alignment vertical="top" wrapText="1"/>
    </xf>
    <xf numFmtId="0" fontId="0" fillId="0" borderId="0" xfId="1" applyFont="1" applyAlignment="1">
      <alignment vertical="top"/>
    </xf>
    <xf numFmtId="0" fontId="1" fillId="2" borderId="1" xfId="1" applyFont="1" applyFill="1" applyBorder="1" applyAlignment="1">
      <alignment vertical="top" wrapText="1"/>
    </xf>
    <xf numFmtId="0" fontId="3" fillId="2" borderId="0" xfId="1" applyFont="1" applyFill="1" applyAlignment="1">
      <alignment vertical="top"/>
    </xf>
    <xf numFmtId="0" fontId="4" fillId="3" borderId="0" xfId="1" applyFont="1" applyFill="1" applyAlignment="1">
      <alignment vertical="top"/>
    </xf>
    <xf numFmtId="0" fontId="1" fillId="4" borderId="0" xfId="1" applyFont="1" applyFill="1" applyAlignment="1">
      <alignment horizontal="center" vertical="top"/>
    </xf>
    <xf numFmtId="3" fontId="7" fillId="6" borderId="2" xfId="1" applyNumberFormat="1" applyFont="1" applyFill="1" applyBorder="1" applyAlignment="1">
      <alignment horizontal="center" vertical="top"/>
    </xf>
    <xf numFmtId="3" fontId="7" fillId="6" borderId="3" xfId="1" applyNumberFormat="1" applyFont="1" applyFill="1" applyBorder="1" applyAlignment="1">
      <alignment horizontal="center" vertical="top"/>
    </xf>
    <xf numFmtId="3" fontId="7" fillId="6" borderId="4" xfId="1" applyNumberFormat="1" applyFont="1" applyFill="1" applyBorder="1" applyAlignment="1">
      <alignment horizontal="center" vertical="top"/>
    </xf>
    <xf numFmtId="3" fontId="7" fillId="6" borderId="5" xfId="1" applyNumberFormat="1" applyFont="1" applyFill="1" applyBorder="1" applyAlignment="1">
      <alignment horizontal="center" vertical="top"/>
    </xf>
    <xf numFmtId="3" fontId="7" fillId="6" borderId="6" xfId="1" applyNumberFormat="1" applyFont="1" applyFill="1" applyBorder="1" applyAlignment="1">
      <alignment horizontal="center" vertical="top"/>
    </xf>
    <xf numFmtId="3" fontId="7" fillId="6" borderId="7" xfId="1" applyNumberFormat="1" applyFont="1" applyFill="1" applyBorder="1" applyAlignment="1">
      <alignment horizontal="center" vertical="top"/>
    </xf>
    <xf numFmtId="0" fontId="8" fillId="7" borderId="8" xfId="1" applyFont="1" applyFill="1" applyBorder="1" applyAlignment="1">
      <alignment vertical="top" wrapText="1"/>
    </xf>
    <xf numFmtId="0" fontId="8" fillId="7" borderId="9" xfId="1" applyFont="1" applyFill="1" applyBorder="1" applyAlignment="1">
      <alignment vertical="top" wrapText="1"/>
    </xf>
    <xf numFmtId="0" fontId="8" fillId="7" borderId="10" xfId="1" applyFont="1" applyFill="1" applyBorder="1" applyAlignment="1">
      <alignment vertical="top" wrapText="1"/>
    </xf>
    <xf numFmtId="0" fontId="8" fillId="7" borderId="11" xfId="1" applyFont="1" applyFill="1" applyBorder="1" applyAlignment="1">
      <alignment vertical="top" wrapText="1"/>
    </xf>
    <xf numFmtId="0" fontId="8" fillId="7" borderId="0" xfId="1" applyFont="1" applyFill="1" applyAlignment="1">
      <alignment vertical="top" wrapText="1"/>
    </xf>
    <xf numFmtId="0" fontId="8" fillId="7" borderId="12" xfId="1" applyFont="1" applyFill="1" applyBorder="1" applyAlignment="1">
      <alignment vertical="top" wrapText="1"/>
    </xf>
    <xf numFmtId="0" fontId="8" fillId="7" borderId="13" xfId="1" applyFont="1" applyFill="1" applyBorder="1" applyAlignment="1">
      <alignment vertical="top" wrapText="1"/>
    </xf>
    <xf numFmtId="0" fontId="8" fillId="7" borderId="14" xfId="1" applyFont="1" applyFill="1" applyBorder="1" applyAlignment="1">
      <alignment vertical="top" wrapText="1"/>
    </xf>
    <xf numFmtId="0" fontId="8" fillId="7" borderId="15" xfId="1" applyFont="1" applyFill="1" applyBorder="1" applyAlignment="1">
      <alignment vertical="top" wrapText="1"/>
    </xf>
    <xf numFmtId="0" fontId="1" fillId="4" borderId="0" xfId="1" applyFont="1" applyFill="1" applyAlignment="1">
      <alignment vertical="top"/>
    </xf>
    <xf numFmtId="0" fontId="1" fillId="2" borderId="1" xfId="1" applyFont="1" applyFill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4" fillId="3" borderId="0" xfId="1" applyFont="1" applyFill="1" applyAlignment="1">
      <alignment vertical="top" wrapText="1"/>
    </xf>
    <xf numFmtId="0" fontId="5" fillId="5" borderId="1" xfId="1" applyFont="1" applyFill="1" applyBorder="1" applyAlignment="1">
      <alignment vertical="top"/>
    </xf>
    <xf numFmtId="0" fontId="6" fillId="0" borderId="1" xfId="1" applyFont="1" applyBorder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4">
    <dxf>
      <font>
        <b/>
      </font>
      <fill>
        <patternFill patternType="solid">
          <bgColor rgb="FFFBE3E3"/>
        </patternFill>
      </fill>
    </dxf>
    <dxf>
      <font>
        <b/>
        <color rgb="FF991B1B"/>
      </font>
      <fill>
        <patternFill patternType="solid">
          <bgColor rgb="FFFBE3E3"/>
        </patternFill>
      </fill>
    </dxf>
    <dxf>
      <font>
        <b/>
        <color rgb="FF854D0E"/>
      </font>
      <fill>
        <patternFill patternType="solid">
          <bgColor rgb="FFFFF4CC"/>
        </patternFill>
      </fill>
    </dxf>
    <dxf>
      <font>
        <b/>
        <color rgb="FF166534"/>
      </font>
      <fill>
        <patternFill patternType="solid">
          <bgColor rgb="FFDDF5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Именная база по типам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Резюме!$A$31:$A$41</c:f>
              <c:strCache>
                <c:ptCount val="11"/>
                <c:pt idx="0">
                  <c:v>Магазин у дома / convenience</c:v>
                </c:pt>
                <c:pt idx="1">
                  <c:v>Супермаркет</c:v>
                </c:pt>
                <c:pt idx="2">
                  <c:v>АЗС</c:v>
                </c:pt>
                <c:pt idx="3">
                  <c:v>АГЗС/ГАЗС</c:v>
                </c:pt>
                <c:pt idx="4">
                  <c:v>Продуктовый магазин</c:v>
                </c:pt>
                <c:pt idx="5">
                  <c:v>Рынок / торговая площадка</c:v>
                </c:pt>
                <c:pt idx="6">
                  <c:v>Минимаркет</c:v>
                </c:pt>
                <c:pt idx="7">
                  <c:v>Овощи/фрукты</c:v>
                </c:pt>
                <c:pt idx="8">
                  <c:v>Другой прикассовый формат</c:v>
                </c:pt>
                <c:pt idx="9">
                  <c:v>Гипермаркет</c:v>
                </c:pt>
                <c:pt idx="10">
                  <c:v>Киоск</c:v>
                </c:pt>
              </c:strCache>
            </c:strRef>
          </c:cat>
          <c:val>
            <c:numRef>
              <c:f>Резюме!$B$31:$B$41</c:f>
              <c:numCache>
                <c:formatCode>General</c:formatCode>
                <c:ptCount val="11"/>
                <c:pt idx="0">
                  <c:v>317</c:v>
                </c:pt>
                <c:pt idx="1">
                  <c:v>223</c:v>
                </c:pt>
                <c:pt idx="2">
                  <c:v>157</c:v>
                </c:pt>
                <c:pt idx="3">
                  <c:v>49</c:v>
                </c:pt>
                <c:pt idx="4">
                  <c:v>38</c:v>
                </c:pt>
                <c:pt idx="5">
                  <c:v>29</c:v>
                </c:pt>
                <c:pt idx="6">
                  <c:v>26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C-4077-85C8-DFB85F2A2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Дилеры по рейтингу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Дилеры</c:v>
          </c:tx>
          <c:cat>
            <c:strRef>
              <c:f>Резюме!$D$31:$D$33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Резюме!$E$31:$E$33</c:f>
              <c:numCache>
                <c:formatCode>General</c:formatCode>
                <c:ptCount val="3"/>
                <c:pt idx="0">
                  <c:v>9</c:v>
                </c:pt>
                <c:pt idx="1">
                  <c:v>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4-4D4E-BC51-12AFDBF41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6</xdr:col>
      <xdr:colOff>0</xdr:colOff>
      <xdr:row>61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utletsTable" displayName="OutletsTable" ref="A1:S846" totalsRowShown="0">
  <tableColumns count="19">
    <tableColumn id="1" xr3:uid="{00000000-0010-0000-0000-000001000000}" name="ID"/>
    <tableColumn id="2" xr3:uid="{00000000-0010-0000-0000-000002000000}" name="Компания / сеть"/>
    <tableColumn id="3" xr3:uid="{00000000-0010-0000-0000-000003000000}" name="Название точки"/>
    <tableColumn id="4" xr3:uid="{00000000-0010-0000-0000-000004000000}" name="Принадлежность к сети"/>
    <tableColumn id="5" xr3:uid="{00000000-0010-0000-0000-000005000000}" name="Тип"/>
    <tableColumn id="6" xr3:uid="{00000000-0010-0000-0000-000006000000}" name="Адрес"/>
    <tableColumn id="7" xr3:uid="{00000000-0010-0000-0000-000007000000}" name="Район"/>
    <tableColumn id="8" xr3:uid="{00000000-0010-0000-0000-000008000000}" name="Телефон"/>
    <tableColumn id="9" xr3:uid="{00000000-0010-0000-0000-000009000000}" name="Сайт / Instagram"/>
    <tableColumn id="10" xr3:uid="{00000000-0010-0000-0000-00000A000000}" name="Известно филиалов"/>
    <tableColumn id="11" xr3:uid="{00000000-0010-0000-0000-00000B000000}" name="Широта"/>
    <tableColumn id="12" xr3:uid="{00000000-0010-0000-0000-00000C000000}" name="Долгота"/>
    <tableColumn id="13" xr3:uid="{00000000-0010-0000-0000-00000D000000}" name="Основной источник"/>
    <tableColumn id="14" xr3:uid="{00000000-0010-0000-0000-00000E000000}" name="Доп. источники"/>
    <tableColumn id="15" xr3:uid="{00000000-0010-0000-0000-00000F000000}" name="Набор данных"/>
    <tableColumn id="16" xr3:uid="{00000000-0010-0000-0000-000010000000}" name="Дата проверки"/>
    <tableColumn id="17" xr3:uid="{00000000-0010-0000-0000-000011000000}" name="Уверенность"/>
    <tableColumn id="18" xr3:uid="{00000000-0010-0000-0000-000012000000}" name="Прикассовое соответствие"/>
    <tableColumn id="19" xr3:uid="{00000000-0010-0000-0000-000013000000}" name="Примеча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titiesTable" displayName="EntitiesTable" ref="A1:L570" totalsRowShown="0">
  <tableColumns count="12">
    <tableColumn id="1" xr3:uid="{00000000-0010-0000-0100-000001000000}" name="Ключ организации"/>
    <tableColumn id="2" xr3:uid="{00000000-0010-0000-0100-000002000000}" name="Компания / бренд"/>
    <tableColumn id="3" xr3:uid="{00000000-0010-0000-0100-000003000000}" name="Статус объединения"/>
    <tableColumn id="4" xr3:uid="{00000000-0010-0000-0100-000004000000}" name="Точек в именной базе"/>
    <tableColumn id="5" xr3:uid="{00000000-0010-0000-0100-000005000000}" name="Известно филиалов"/>
    <tableColumn id="6" xr3:uid="{00000000-0010-0000-0100-000006000000}" name="Форматы"/>
    <tableColumn id="7" xr3:uid="{00000000-0010-0000-0100-000007000000}" name="Районы"/>
    <tableColumn id="8" xr3:uid="{00000000-0010-0000-0100-000008000000}" name="Телефоны"/>
    <tableColumn id="9" xr3:uid="{00000000-0010-0000-0100-000009000000}" name="Сайт / соцсети"/>
    <tableColumn id="10" xr3:uid="{00000000-0010-0000-0100-00000A000000}" name="Источники"/>
    <tableColumn id="11" xr3:uid="{00000000-0010-0000-0100-00000B000000}" name="Дата проверки"/>
    <tableColumn id="12" xr3:uid="{00000000-0010-0000-0100-00000C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alersTable" displayName="DealersTable" ref="A1:AB22" totalsRowShown="0">
  <tableColumns count="28">
    <tableColumn id="1" xr3:uid="{00000000-0010-0000-0200-000001000000}" name="ID"/>
    <tableColumn id="2" xr3:uid="{00000000-0010-0000-0200-000002000000}" name="Дилер"/>
    <tableColumn id="3" xr3:uid="{00000000-0010-0000-0200-000003000000}" name="Юр. название"/>
    <tableColumn id="4" xr3:uid="{00000000-0010-0000-0200-000004000000}" name="Рейтинг"/>
    <tableColumn id="5" xr3:uid="{00000000-0010-0000-0200-000005000000}" name="Топ-10"/>
    <tableColumn id="6" xr3:uid="{00000000-0010-0000-0200-000006000000}" name="Почему в топ-10"/>
    <tableColumn id="7" xr3:uid="{00000000-0010-0000-0200-000007000000}" name="Общая пригодность"/>
    <tableColumn id="8" xr3:uid="{00000000-0010-0000-0200-000008000000}" name="Склад"/>
    <tableColumn id="9" xr3:uid="{00000000-0010-0000-0200-000009000000}" name="Доставка"/>
    <tableColumn id="10" xr3:uid="{00000000-0010-0000-0200-00000A000000}" name="FMCG-дистрибуция"/>
    <tableColumn id="11" xr3:uid="{00000000-0010-0000-0200-00000B000000}" name="Сеть торговых точек"/>
    <tableColumn id="12" xr3:uid="{00000000-0010-0000-0200-00000C000000}" name="Торговые представители"/>
    <tableColumn id="13" xr3:uid="{00000000-0010-0000-0200-00000D000000}" name="Адрес / склад Шымкент"/>
    <tableColumn id="14" xr3:uid="{00000000-0010-0000-0200-00000E000000}" name="Телефон"/>
    <tableColumn id="15" xr3:uid="{00000000-0010-0000-0200-00000F000000}" name="Email"/>
    <tableColumn id="16" xr3:uid="{00000000-0010-0000-0200-000010000000}" name="Сайт"/>
    <tableColumn id="17" xr3:uid="{00000000-0010-0000-0200-000011000000}" name="Соцсети"/>
    <tableColumn id="18" xr3:uid="{00000000-0010-0000-0200-000012000000}" name="Категории"/>
    <tableColumn id="19" xr3:uid="{00000000-0010-0000-0200-000013000000}" name="Бренды"/>
    <tableColumn id="20" xr3:uid="{00000000-0010-0000-0200-000014000000}" name="Доказательство склада"/>
    <tableColumn id="21" xr3:uid="{00000000-0010-0000-0200-000015000000}" name="Доказательство доставки"/>
    <tableColumn id="22" xr3:uid="{00000000-0010-0000-0200-000016000000}" name="Доказательство ТП"/>
    <tableColumn id="23" xr3:uid="{00000000-0010-0000-0200-000017000000}" name="География"/>
    <tableColumn id="24" xr3:uid="{00000000-0010-0000-0200-000018000000}" name="Охват / точки"/>
    <tableColumn id="25" xr3:uid="{00000000-0010-0000-0200-000019000000}" name="Численные claims"/>
    <tableColumn id="26" xr3:uid="{00000000-0010-0000-0200-00001A000000}" name="Что неизвестно"/>
    <tableColumn id="27" xr3:uid="{00000000-0010-0000-0200-00001B000000}" name="Источники"/>
    <tableColumn id="28" xr3:uid="{00000000-0010-0000-0200-00001C000000}" name="Дата проверки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1:H69" totalsRowShown="0">
  <tableColumns count="8">
    <tableColumn id="1" xr3:uid="{00000000-0010-0000-0300-000001000000}" name="ID"/>
    <tableColumn id="2" xr3:uid="{00000000-0010-0000-0300-000002000000}" name="Блок"/>
    <tableColumn id="3" xr3:uid="{00000000-0010-0000-0300-000003000000}" name="Издатель / компания"/>
    <tableColumn id="4" xr3:uid="{00000000-0010-0000-0300-000004000000}" name="URL"/>
    <tableColumn id="5" xr3:uid="{00000000-0010-0000-0300-000005000000}" name="Подтверждаемый факт"/>
    <tableColumn id="6" xr3:uid="{00000000-0010-0000-0300-000006000000}" name="Дата проверки"/>
    <tableColumn id="7" xr3:uid="{00000000-0010-0000-0300-000007000000}" name="Статус"/>
    <tableColumn id="8" xr3:uid="{00000000-0010-0000-0300-000008000000}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topLeftCell="A67" workbookViewId="0">
      <selection activeCell="B43" sqref="B1:B1048576"/>
    </sheetView>
  </sheetViews>
  <sheetFormatPr defaultRowHeight="13.8"/>
  <cols>
    <col min="1" max="1" width="8" customWidth="1"/>
    <col min="2" max="4" width="14" customWidth="1"/>
    <col min="5" max="10" width="13" customWidth="1"/>
    <col min="11" max="12" width="14" customWidth="1"/>
  </cols>
  <sheetData>
    <row r="1" spans="1:12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7" t="s">
        <v>0</v>
      </c>
    </row>
    <row r="2" spans="1:12">
      <c r="A2" s="7" t="s">
        <v>0</v>
      </c>
      <c r="B2" s="7" t="s">
        <v>0</v>
      </c>
      <c r="C2" s="7" t="s">
        <v>0</v>
      </c>
      <c r="D2" s="7" t="s">
        <v>0</v>
      </c>
      <c r="E2" s="7" t="s">
        <v>0</v>
      </c>
      <c r="F2" s="7" t="s">
        <v>0</v>
      </c>
      <c r="G2" s="7" t="s">
        <v>0</v>
      </c>
      <c r="H2" s="7" t="s">
        <v>0</v>
      </c>
      <c r="I2" s="7" t="s">
        <v>0</v>
      </c>
      <c r="J2" s="7" t="s">
        <v>0</v>
      </c>
      <c r="K2" s="7" t="s">
        <v>0</v>
      </c>
      <c r="L2" s="7" t="s">
        <v>0</v>
      </c>
    </row>
    <row r="3" spans="1:12" ht="14.4">
      <c r="A3" s="8" t="s">
        <v>1</v>
      </c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>
      <c r="A5" s="9" t="s">
        <v>2</v>
      </c>
      <c r="B5" s="9" t="s">
        <v>2</v>
      </c>
      <c r="C5" s="9" t="s">
        <v>2</v>
      </c>
      <c r="D5" s="9" t="s">
        <v>3</v>
      </c>
      <c r="E5" s="9" t="s">
        <v>3</v>
      </c>
      <c r="F5" s="9" t="s">
        <v>3</v>
      </c>
      <c r="G5" s="9" t="s">
        <v>4</v>
      </c>
      <c r="H5" s="9" t="s">
        <v>4</v>
      </c>
      <c r="I5" s="9" t="s">
        <v>4</v>
      </c>
      <c r="J5" s="9" t="s">
        <v>5</v>
      </c>
      <c r="K5" s="9" t="s">
        <v>5</v>
      </c>
      <c r="L5" s="9" t="s">
        <v>5</v>
      </c>
    </row>
    <row r="6" spans="1:12">
      <c r="A6" s="10">
        <f>COUNTA('Торговые точки'!$A$2:$A$846)</f>
        <v>845</v>
      </c>
      <c r="B6" s="11"/>
      <c r="C6" s="12"/>
      <c r="D6" s="10">
        <f>COUNTA('Компании и сети'!$A$2:$A$570)</f>
        <v>569</v>
      </c>
      <c r="E6" s="11"/>
      <c r="F6" s="12"/>
      <c r="G6" s="10">
        <f>COUNTA(Дилеры!$A$2:$A$22)</f>
        <v>21</v>
      </c>
      <c r="H6" s="11"/>
      <c r="I6" s="12"/>
      <c r="J6" s="10">
        <f>COUNTIF(Дилеры!$D$2:$D$22,"A")</f>
        <v>9</v>
      </c>
      <c r="K6" s="11"/>
      <c r="L6" s="12"/>
    </row>
    <row r="7" spans="1:12">
      <c r="A7" s="13"/>
      <c r="B7" s="14"/>
      <c r="C7" s="15"/>
      <c r="D7" s="13"/>
      <c r="E7" s="14"/>
      <c r="F7" s="15"/>
      <c r="G7" s="13"/>
      <c r="H7" s="14"/>
      <c r="I7" s="15"/>
      <c r="J7" s="13"/>
      <c r="K7" s="14"/>
      <c r="L7" s="15"/>
    </row>
    <row r="8" spans="1:1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>
      <c r="A9" s="9" t="s">
        <v>6</v>
      </c>
      <c r="B9" s="9" t="s">
        <v>6</v>
      </c>
      <c r="C9" s="9" t="s">
        <v>6</v>
      </c>
      <c r="D9" s="9" t="s">
        <v>7</v>
      </c>
      <c r="E9" s="9" t="s">
        <v>7</v>
      </c>
      <c r="F9" s="9" t="s">
        <v>7</v>
      </c>
      <c r="G9" s="9" t="s">
        <v>8</v>
      </c>
      <c r="H9" s="9" t="s">
        <v>8</v>
      </c>
      <c r="I9" s="9" t="s">
        <v>8</v>
      </c>
      <c r="J9" s="9" t="s">
        <v>9</v>
      </c>
      <c r="K9" s="9" t="s">
        <v>9</v>
      </c>
      <c r="L9" s="9" t="s">
        <v>9</v>
      </c>
    </row>
    <row r="10" spans="1:12">
      <c r="A10" s="10">
        <f>COUNTIF('Торговые точки'!$E$2:$E$846,"АЗС")+COUNTIF('Торговые точки'!$E$2:$E$846,"АГЗС/ГАЗС")</f>
        <v>206</v>
      </c>
      <c r="B10" s="11"/>
      <c r="C10" s="12"/>
      <c r="D10" s="10">
        <f>'Оценка рынка'!$B$7</f>
        <v>4962</v>
      </c>
      <c r="E10" s="11"/>
      <c r="F10" s="12"/>
      <c r="G10" s="10">
        <f>'Оценка рынка'!$B$20</f>
        <v>1172</v>
      </c>
      <c r="H10" s="11"/>
      <c r="I10" s="12"/>
      <c r="J10" s="10">
        <f>'Оценка рынка'!$B$21</f>
        <v>2769</v>
      </c>
      <c r="K10" s="11"/>
      <c r="L10" s="12"/>
    </row>
    <row r="11" spans="1:12">
      <c r="A11" s="13"/>
      <c r="B11" s="14"/>
      <c r="C11" s="15"/>
      <c r="D11" s="13"/>
      <c r="E11" s="14"/>
      <c r="F11" s="15"/>
      <c r="G11" s="13"/>
      <c r="H11" s="14"/>
      <c r="I11" s="15"/>
      <c r="J11" s="13"/>
      <c r="K11" s="14"/>
      <c r="L11" s="15"/>
    </row>
    <row r="12" spans="1: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>
      <c r="A13" s="16" t="s">
        <v>10</v>
      </c>
      <c r="B13" s="17" t="s">
        <v>10</v>
      </c>
      <c r="C13" s="17" t="s">
        <v>10</v>
      </c>
      <c r="D13" s="17" t="s">
        <v>10</v>
      </c>
      <c r="E13" s="17" t="s">
        <v>10</v>
      </c>
      <c r="F13" s="17" t="s">
        <v>10</v>
      </c>
      <c r="G13" s="17" t="s">
        <v>10</v>
      </c>
      <c r="H13" s="17" t="s">
        <v>10</v>
      </c>
      <c r="I13" s="17" t="s">
        <v>10</v>
      </c>
      <c r="J13" s="17" t="s">
        <v>10</v>
      </c>
      <c r="K13" s="17" t="s">
        <v>10</v>
      </c>
      <c r="L13" s="18" t="s">
        <v>10</v>
      </c>
    </row>
    <row r="14" spans="1:12">
      <c r="A14" s="19" t="s">
        <v>10</v>
      </c>
      <c r="B14" s="20" t="s">
        <v>10</v>
      </c>
      <c r="C14" s="20" t="s">
        <v>10</v>
      </c>
      <c r="D14" s="20" t="s">
        <v>10</v>
      </c>
      <c r="E14" s="20" t="s">
        <v>10</v>
      </c>
      <c r="F14" s="20" t="s">
        <v>10</v>
      </c>
      <c r="G14" s="20" t="s">
        <v>10</v>
      </c>
      <c r="H14" s="20" t="s">
        <v>10</v>
      </c>
      <c r="I14" s="20" t="s">
        <v>10</v>
      </c>
      <c r="J14" s="20" t="s">
        <v>10</v>
      </c>
      <c r="K14" s="20" t="s">
        <v>10</v>
      </c>
      <c r="L14" s="21" t="s">
        <v>10</v>
      </c>
    </row>
    <row r="15" spans="1:12">
      <c r="A15" s="22" t="s">
        <v>10</v>
      </c>
      <c r="B15" s="23" t="s">
        <v>10</v>
      </c>
      <c r="C15" s="23" t="s">
        <v>10</v>
      </c>
      <c r="D15" s="23" t="s">
        <v>10</v>
      </c>
      <c r="E15" s="23" t="s">
        <v>10</v>
      </c>
      <c r="F15" s="23" t="s">
        <v>10</v>
      </c>
      <c r="G15" s="23" t="s">
        <v>10</v>
      </c>
      <c r="H15" s="23" t="s">
        <v>10</v>
      </c>
      <c r="I15" s="23" t="s">
        <v>10</v>
      </c>
      <c r="J15" s="23" t="s">
        <v>10</v>
      </c>
      <c r="K15" s="23" t="s">
        <v>10</v>
      </c>
      <c r="L15" s="24" t="s">
        <v>10</v>
      </c>
    </row>
    <row r="16" spans="1:1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25" t="s">
        <v>11</v>
      </c>
      <c r="B17" s="25" t="s">
        <v>11</v>
      </c>
      <c r="C17" s="25" t="s">
        <v>11</v>
      </c>
      <c r="D17" s="25" t="s">
        <v>11</v>
      </c>
      <c r="E17" s="25" t="s">
        <v>11</v>
      </c>
      <c r="F17" s="25" t="s">
        <v>11</v>
      </c>
      <c r="G17" s="25" t="s">
        <v>11</v>
      </c>
      <c r="H17" s="25" t="s">
        <v>11</v>
      </c>
      <c r="I17" s="25" t="s">
        <v>11</v>
      </c>
      <c r="J17" s="25" t="s">
        <v>11</v>
      </c>
      <c r="K17" s="25" t="s">
        <v>11</v>
      </c>
      <c r="L17" s="25" t="s">
        <v>11</v>
      </c>
    </row>
    <row r="18" spans="1:12">
      <c r="A18" s="6" t="s">
        <v>12</v>
      </c>
      <c r="B18" s="26" t="s">
        <v>13</v>
      </c>
      <c r="C18" s="26"/>
      <c r="D18" s="6" t="s">
        <v>14</v>
      </c>
      <c r="E18" s="26" t="s">
        <v>15</v>
      </c>
      <c r="F18" s="26"/>
      <c r="G18" s="26"/>
      <c r="H18" s="26"/>
      <c r="I18" s="26"/>
      <c r="J18" s="26"/>
      <c r="K18" s="26" t="s">
        <v>16</v>
      </c>
      <c r="L18" s="26"/>
    </row>
    <row r="19" spans="1:12" ht="42" customHeight="1">
      <c r="A19" s="1">
        <f>Дилеры!E2</f>
        <v>1</v>
      </c>
      <c r="B19" s="27" t="str">
        <f>Дилеры!B2</f>
        <v>Beverage Trade / FBS Group</v>
      </c>
      <c r="C19" s="27"/>
      <c r="D19" s="1" t="str">
        <f>Дилеры!D2</f>
        <v>A</v>
      </c>
      <c r="E19" s="27" t="str">
        <f>Дилеры!F2</f>
        <v>Самый прозрачный локальный охват: южный хаб, склад 8 000 м² и 4 400 активных точек в четырёх южных городах; для Шымкента отдельно ранее раскрывалось 2 971.</v>
      </c>
      <c r="F19" s="27"/>
      <c r="G19" s="27"/>
      <c r="H19" s="27"/>
      <c r="I19" s="27"/>
      <c r="J19" s="27"/>
      <c r="K19" s="27" t="str">
        <f>Дилеры!N2</f>
        <v>+7 700 090 00 22</v>
      </c>
      <c r="L19" s="27"/>
    </row>
    <row r="20" spans="1:12" ht="42" customHeight="1">
      <c r="A20" s="1">
        <f>Дилеры!E3</f>
        <v>2</v>
      </c>
      <c r="B20" s="27" t="str">
        <f>Дилеры!B3</f>
        <v>Dudar</v>
      </c>
      <c r="C20" s="27"/>
      <c r="D20" s="1" t="str">
        <f>Дилеры!D3</f>
        <v>A</v>
      </c>
      <c r="E20" s="27" t="str">
        <f>Дилеры!F3</f>
        <v>18 складов, собственная доставка за 24 часа, полевые coverage-планы и клиентская база от магазинов до АЗС.</v>
      </c>
      <c r="F20" s="27"/>
      <c r="G20" s="27"/>
      <c r="H20" s="27"/>
      <c r="I20" s="27"/>
      <c r="J20" s="27"/>
      <c r="K20" s="27" t="str">
        <f>Дилеры!N3</f>
        <v>+7 701 027-83-47</v>
      </c>
      <c r="L20" s="27"/>
    </row>
    <row r="21" spans="1:12" ht="42" customHeight="1">
      <c r="A21" s="1">
        <f>Дилеры!E4</f>
        <v>3</v>
      </c>
      <c r="B21" s="27" t="str">
        <f>Дилеры!B4</f>
        <v>Prima Distribution</v>
      </c>
      <c r="C21" s="27"/>
      <c r="D21" s="1" t="str">
        <f>Дилеры!D4</f>
        <v>A</v>
      </c>
      <c r="E21" s="27" t="str">
        <f>Дилеры!F4</f>
        <v>Филиал и прямой контакт в Шымкенте; 35 000+ точек по Казахстану, сильная торговая и мерчендайзинговая система.</v>
      </c>
      <c r="F21" s="27"/>
      <c r="G21" s="27"/>
      <c r="H21" s="27"/>
      <c r="I21" s="27"/>
      <c r="J21" s="27"/>
      <c r="K21" s="27" t="str">
        <f>Дилеры!N4</f>
        <v>+7 777 005 73 00, 8 8000 80 80 81</v>
      </c>
      <c r="L21" s="27"/>
    </row>
    <row r="22" spans="1:12" ht="42" customHeight="1">
      <c r="A22" s="1">
        <f>Дилеры!E5</f>
        <v>4</v>
      </c>
      <c r="B22" s="27" t="str">
        <f>Дилеры!B5</f>
        <v>Apple City Corps</v>
      </c>
      <c r="C22" s="27"/>
      <c r="D22" s="1" t="str">
        <f>Дилеры!D5</f>
        <v>A</v>
      </c>
      <c r="E22" s="27" t="str">
        <f>Дилеры!F5</f>
        <v>35 представительств, 27 000+ клиентов, собственные склады и автопарк; шымкентский филиал подтверждён.</v>
      </c>
      <c r="F22" s="27"/>
      <c r="G22" s="27"/>
      <c r="H22" s="27"/>
      <c r="I22" s="27"/>
      <c r="J22" s="27"/>
      <c r="K22" s="27" t="str">
        <f>Дилеры!N5</f>
        <v>+7 727 250 05 50</v>
      </c>
      <c r="L22" s="27"/>
    </row>
    <row r="23" spans="1:12" ht="42" customHeight="1">
      <c r="A23" s="1">
        <f>Дилеры!E6</f>
        <v>5</v>
      </c>
      <c r="B23" s="27" t="str">
        <f>Дилеры!B6</f>
        <v>Aspan Asia</v>
      </c>
      <c r="C23" s="27"/>
      <c r="D23" s="1" t="str">
        <f>Дилеры!D6</f>
        <v>A</v>
      </c>
      <c r="E23" s="27" t="str">
        <f>Дилеры!F6</f>
        <v>Сильный южный контур, собственные склады/доставка и релевантный импульсный портфель снеков, печенья и напитков.</v>
      </c>
      <c r="F23" s="27"/>
      <c r="G23" s="27"/>
      <c r="H23" s="27"/>
      <c r="I23" s="27"/>
      <c r="J23" s="27"/>
      <c r="K23" s="27" t="str">
        <f>Дилеры!N6</f>
        <v>+7 727 398 04 62, +7 777 191 01 11, +7 777 077 71 13</v>
      </c>
      <c r="L23" s="27"/>
    </row>
    <row r="24" spans="1:12" ht="42" customHeight="1">
      <c r="A24" s="1">
        <f>Дилеры!E7</f>
        <v>6</v>
      </c>
      <c r="B24" s="27" t="str">
        <f>Дилеры!B7</f>
        <v>ALIDI Kazakhstan</v>
      </c>
      <c r="C24" s="27"/>
      <c r="D24" s="1" t="str">
        <f>Дилеры!D7</f>
        <v>A</v>
      </c>
      <c r="E24" s="27" t="str">
        <f>Дилеры!F7</f>
        <v>Системный route-to-market, доставка MT/GT, локальные торговые представители и 16 000+ точек по Казахстану.</v>
      </c>
      <c r="F24" s="27"/>
      <c r="G24" s="27"/>
      <c r="H24" s="27"/>
      <c r="I24" s="27"/>
      <c r="J24" s="27"/>
      <c r="K24" s="27" t="str">
        <f>Дилеры!N7</f>
        <v>8 800 080 01 25</v>
      </c>
      <c r="L24" s="27"/>
    </row>
    <row r="25" spans="1:12" ht="42" customHeight="1">
      <c r="A25" s="1">
        <f>Дилеры!E8</f>
        <v>7</v>
      </c>
      <c r="B25" s="27" t="str">
        <f>Дилеры!B8</f>
        <v>F-Food</v>
      </c>
      <c r="C25" s="27"/>
      <c r="D25" s="1" t="str">
        <f>Дилеры!D8</f>
        <v>A</v>
      </c>
      <c r="E25" s="27" t="str">
        <f>Дилеры!F8</f>
        <v>Шымкентская база 2 500 м², кондитерка и снеки, доставка и действующая региональная дилерская сеть.</v>
      </c>
      <c r="F25" s="27"/>
      <c r="G25" s="27"/>
      <c r="H25" s="27"/>
      <c r="I25" s="27"/>
      <c r="J25" s="27"/>
      <c r="K25" s="27" t="str">
        <f>Дилеры!N8</f>
        <v>+7 7252 98 21 52, +7 778 463 83 73</v>
      </c>
      <c r="L25" s="27"/>
    </row>
    <row r="26" spans="1:12" ht="42" customHeight="1">
      <c r="A26" s="1">
        <f>Дилеры!E9</f>
        <v>8</v>
      </c>
      <c r="B26" s="27" t="str">
        <f>Дилеры!B9</f>
        <v>BGT Company</v>
      </c>
      <c r="C26" s="27"/>
      <c r="D26" s="1" t="str">
        <f>Дилеры!D9</f>
        <v>A</v>
      </c>
      <c r="E26" s="27" t="str">
        <f>Дилеры!F9</f>
        <v>Локальная клиентская база 3 087, три склада и девять автомобилей — хороший кандидат для быстрого пилота.</v>
      </c>
      <c r="F26" s="27"/>
      <c r="G26" s="27"/>
      <c r="H26" s="27"/>
      <c r="I26" s="27"/>
      <c r="J26" s="27"/>
      <c r="K26" s="27">
        <f>Дилеры!N9</f>
        <v>0</v>
      </c>
      <c r="L26" s="27"/>
    </row>
    <row r="27" spans="1:12" ht="42" customHeight="1">
      <c r="A27" s="1">
        <f>Дилеры!E10</f>
        <v>9</v>
      </c>
      <c r="B27" s="27" t="str">
        <f>Дилеры!B10</f>
        <v>RG Brands Kazakhstan</v>
      </c>
      <c r="C27" s="27"/>
      <c r="D27" s="1" t="str">
        <f>Дилеры!D10</f>
        <v>A</v>
      </c>
      <c r="E27" s="27" t="str">
        <f>Дилеры!F10</f>
        <v>Склад и торговая команда в Шымкенте, плотный охват напитков; ключевой риск — готовность брать внешний бренд.</v>
      </c>
      <c r="F27" s="27"/>
      <c r="G27" s="27"/>
      <c r="H27" s="27"/>
      <c r="I27" s="27"/>
      <c r="J27" s="27"/>
      <c r="K27" s="27" t="str">
        <f>Дилеры!N10</f>
        <v>+7 705 997 05 49</v>
      </c>
      <c r="L27" s="27"/>
    </row>
    <row r="28" spans="1:12" ht="42" customHeight="1">
      <c r="A28" s="1">
        <f>Дилеры!E11</f>
        <v>10</v>
      </c>
      <c r="B28" s="27" t="str">
        <f>Дилеры!B11</f>
        <v>Star Brands Asia</v>
      </c>
      <c r="C28" s="27"/>
      <c r="D28" s="1" t="str">
        <f>Дилеры!D11</f>
        <v>B</v>
      </c>
      <c r="E28" s="27" t="str">
        <f>Дилеры!F11</f>
        <v>Импульсный портфель снеков и кондитерки, 21 филиал и локальный торговый представитель; требуется подтвердить склад и SLA.</v>
      </c>
      <c r="F28" s="27"/>
      <c r="G28" s="27"/>
      <c r="H28" s="27"/>
      <c r="I28" s="27"/>
      <c r="J28" s="27"/>
      <c r="K28" s="27" t="str">
        <f>Дилеры!N11</f>
        <v>+7 727 382 19 45</v>
      </c>
      <c r="L28" s="27"/>
    </row>
    <row r="29" spans="1:1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27.6">
      <c r="A30" s="6" t="s">
        <v>17</v>
      </c>
      <c r="B30" s="6" t="s">
        <v>18</v>
      </c>
      <c r="C30" s="5"/>
      <c r="D30" s="6" t="s">
        <v>14</v>
      </c>
      <c r="E30" s="6" t="s">
        <v>19</v>
      </c>
      <c r="F30" s="5"/>
      <c r="G30" s="5"/>
      <c r="H30" s="5"/>
      <c r="I30" s="5"/>
      <c r="J30" s="5"/>
      <c r="K30" s="5"/>
      <c r="L30" s="5"/>
    </row>
    <row r="31" spans="1:12" ht="45.6">
      <c r="A31" s="1" t="s">
        <v>20</v>
      </c>
      <c r="B31" s="1">
        <f>COUNTIF('Торговые точки'!$E$2:$E$846,A31)</f>
        <v>317</v>
      </c>
      <c r="C31" s="5"/>
      <c r="D31" s="1" t="s">
        <v>21</v>
      </c>
      <c r="E31" s="1">
        <f>COUNTIF(Дилеры!$D$2:$D$22,D31)</f>
        <v>9</v>
      </c>
      <c r="F31" s="5"/>
      <c r="G31" s="5"/>
      <c r="H31" s="5"/>
      <c r="I31" s="5"/>
      <c r="J31" s="5"/>
      <c r="K31" s="5"/>
      <c r="L31" s="5"/>
    </row>
    <row r="32" spans="1:12" ht="22.8">
      <c r="A32" s="1" t="s">
        <v>22</v>
      </c>
      <c r="B32" s="1">
        <f>COUNTIF('Торговые точки'!$E$2:$E$846,A32)</f>
        <v>223</v>
      </c>
      <c r="C32" s="5"/>
      <c r="D32" s="1" t="s">
        <v>23</v>
      </c>
      <c r="E32" s="1">
        <f>COUNTIF(Дилеры!$D$2:$D$22,D32)</f>
        <v>5</v>
      </c>
      <c r="F32" s="5"/>
      <c r="G32" s="5"/>
      <c r="H32" s="5"/>
      <c r="I32" s="5"/>
      <c r="J32" s="5"/>
      <c r="K32" s="5"/>
      <c r="L32" s="5"/>
    </row>
    <row r="33" spans="1:12">
      <c r="A33" s="1" t="s">
        <v>24</v>
      </c>
      <c r="B33" s="1">
        <f>COUNTIF('Торговые точки'!$E$2:$E$846,A33)</f>
        <v>157</v>
      </c>
      <c r="C33" s="5"/>
      <c r="D33" s="1" t="s">
        <v>25</v>
      </c>
      <c r="E33" s="1">
        <f>COUNTIF(Дилеры!$D$2:$D$22,D33)</f>
        <v>7</v>
      </c>
      <c r="F33" s="5"/>
      <c r="G33" s="5"/>
      <c r="H33" s="5"/>
      <c r="I33" s="5"/>
      <c r="J33" s="5"/>
      <c r="K33" s="5"/>
      <c r="L33" s="5"/>
    </row>
    <row r="34" spans="1:12" ht="22.8">
      <c r="A34" s="1" t="s">
        <v>26</v>
      </c>
      <c r="B34" s="1">
        <f>COUNTIF('Торговые точки'!$E$2:$E$846,A34)</f>
        <v>49</v>
      </c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200000000000003">
      <c r="A35" s="1" t="s">
        <v>27</v>
      </c>
      <c r="B35" s="1">
        <f>COUNTIF('Торговые точки'!$E$2:$E$846,A35)</f>
        <v>38</v>
      </c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200000000000003">
      <c r="A36" s="1" t="s">
        <v>28</v>
      </c>
      <c r="B36" s="1">
        <f>COUNTIF('Торговые точки'!$E$2:$E$846,A36)</f>
        <v>29</v>
      </c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22.8">
      <c r="A37" s="1" t="s">
        <v>29</v>
      </c>
      <c r="B37" s="1">
        <f>COUNTIF('Торговые точки'!$E$2:$E$846,A37)</f>
        <v>26</v>
      </c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22.8">
      <c r="A38" s="1" t="s">
        <v>30</v>
      </c>
      <c r="B38" s="1">
        <f>COUNTIF('Торговые точки'!$E$2:$E$846,A38)</f>
        <v>2</v>
      </c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45.6">
      <c r="A39" s="1" t="s">
        <v>31</v>
      </c>
      <c r="B39" s="1">
        <f>COUNTIF('Торговые точки'!$E$2:$E$846,A39)</f>
        <v>2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22.8">
      <c r="A40" s="1" t="s">
        <v>32</v>
      </c>
      <c r="B40" s="1">
        <f>COUNTIF('Торговые точки'!$E$2:$E$846,A40)</f>
        <v>1</v>
      </c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1" t="s">
        <v>33</v>
      </c>
      <c r="B41" s="1">
        <f>COUNTIF('Торговые точки'!$E$2:$E$846,A41)</f>
        <v>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</sheetData>
  <mergeCells count="53">
    <mergeCell ref="B27:C27"/>
    <mergeCell ref="E27:J27"/>
    <mergeCell ref="K27:L27"/>
    <mergeCell ref="B28:C28"/>
    <mergeCell ref="E28:J28"/>
    <mergeCell ref="K28:L28"/>
    <mergeCell ref="B25:C25"/>
    <mergeCell ref="E25:J25"/>
    <mergeCell ref="K25:L25"/>
    <mergeCell ref="B26:C26"/>
    <mergeCell ref="E26:J26"/>
    <mergeCell ref="K26:L26"/>
    <mergeCell ref="B23:C23"/>
    <mergeCell ref="E23:J23"/>
    <mergeCell ref="K23:L23"/>
    <mergeCell ref="B24:C24"/>
    <mergeCell ref="E24:J24"/>
    <mergeCell ref="K24:L24"/>
    <mergeCell ref="B21:C21"/>
    <mergeCell ref="E21:J21"/>
    <mergeCell ref="K21:L21"/>
    <mergeCell ref="B22:C22"/>
    <mergeCell ref="E22:J22"/>
    <mergeCell ref="K22:L22"/>
    <mergeCell ref="B19:C19"/>
    <mergeCell ref="E19:J19"/>
    <mergeCell ref="K19:L19"/>
    <mergeCell ref="B20:C20"/>
    <mergeCell ref="E20:J20"/>
    <mergeCell ref="K20:L20"/>
    <mergeCell ref="J9:L9"/>
    <mergeCell ref="J10:L11"/>
    <mergeCell ref="A13:L15"/>
    <mergeCell ref="A17:L17"/>
    <mergeCell ref="B18:C18"/>
    <mergeCell ref="E18:J18"/>
    <mergeCell ref="K18:L18"/>
    <mergeCell ref="A9:C9"/>
    <mergeCell ref="A10:C11"/>
    <mergeCell ref="D9:F9"/>
    <mergeCell ref="D10:F11"/>
    <mergeCell ref="G9:I9"/>
    <mergeCell ref="G10:I11"/>
    <mergeCell ref="A1:L2"/>
    <mergeCell ref="A3:L3"/>
    <mergeCell ref="A5:C5"/>
    <mergeCell ref="A6:C7"/>
    <mergeCell ref="D5:F5"/>
    <mergeCell ref="D6:F7"/>
    <mergeCell ref="G5:I5"/>
    <mergeCell ref="G6:I7"/>
    <mergeCell ref="J5:L5"/>
    <mergeCell ref="J6:L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46"/>
  <sheetViews>
    <sheetView showGridLines="0" workbookViewId="0"/>
  </sheetViews>
  <sheetFormatPr defaultRowHeight="13.8"/>
  <cols>
    <col min="1" max="1" width="11" customWidth="1"/>
    <col min="2" max="3" width="18" customWidth="1"/>
    <col min="4" max="4" width="23" customWidth="1"/>
    <col min="5" max="5" width="18" customWidth="1"/>
    <col min="6" max="6" width="37" customWidth="1"/>
    <col min="7" max="7" width="17" customWidth="1"/>
    <col min="8" max="8" width="18" customWidth="1"/>
    <col min="9" max="9" width="26" customWidth="1"/>
    <col min="10" max="12" width="12" customWidth="1"/>
    <col min="13" max="14" width="42" customWidth="1"/>
    <col min="15" max="15" width="17" customWidth="1"/>
    <col min="16" max="16" width="13" customWidth="1"/>
    <col min="17" max="17" width="12" customWidth="1"/>
    <col min="18" max="18" width="17" customWidth="1"/>
    <col min="19" max="19" width="42" customWidth="1"/>
  </cols>
  <sheetData>
    <row r="1" spans="1:19" ht="34.049999999999997" customHeight="1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</row>
    <row r="2" spans="1:19" ht="22.8">
      <c r="A2" s="1" t="s">
        <v>53</v>
      </c>
      <c r="B2" s="1" t="s">
        <v>54</v>
      </c>
      <c r="C2" s="1" t="s">
        <v>54</v>
      </c>
      <c r="D2" s="1" t="s">
        <v>55</v>
      </c>
      <c r="E2" s="1" t="s">
        <v>20</v>
      </c>
      <c r="F2" s="1" t="s">
        <v>56</v>
      </c>
      <c r="G2" s="1"/>
      <c r="H2" s="1"/>
      <c r="I2" s="1"/>
      <c r="J2" s="2"/>
      <c r="K2" s="3">
        <v>42.345683100000002</v>
      </c>
      <c r="L2" s="3">
        <v>69.645043400000006</v>
      </c>
      <c r="M2" s="1" t="s">
        <v>57</v>
      </c>
      <c r="N2" s="1"/>
      <c r="O2" s="1" t="s">
        <v>58</v>
      </c>
      <c r="P2" s="1" t="s">
        <v>59</v>
      </c>
      <c r="Q2" s="1" t="s">
        <v>60</v>
      </c>
      <c r="R2" s="1" t="s">
        <v>61</v>
      </c>
      <c r="S2" s="1" t="s">
        <v>62</v>
      </c>
    </row>
    <row r="3" spans="1:19" ht="22.8">
      <c r="A3" s="1" t="s">
        <v>63</v>
      </c>
      <c r="B3" s="1" t="s">
        <v>64</v>
      </c>
      <c r="C3" s="1" t="s">
        <v>64</v>
      </c>
      <c r="D3" s="1" t="s">
        <v>55</v>
      </c>
      <c r="E3" s="1" t="s">
        <v>20</v>
      </c>
      <c r="F3" s="1"/>
      <c r="G3" s="1"/>
      <c r="H3" s="1"/>
      <c r="I3" s="1"/>
      <c r="J3" s="2"/>
      <c r="K3" s="3">
        <v>42.305654400000002</v>
      </c>
      <c r="L3" s="3">
        <v>69.624595900000003</v>
      </c>
      <c r="M3" s="1" t="s">
        <v>65</v>
      </c>
      <c r="N3" s="1"/>
      <c r="O3" s="1" t="s">
        <v>58</v>
      </c>
      <c r="P3" s="1" t="s">
        <v>59</v>
      </c>
      <c r="Q3" s="1" t="s">
        <v>60</v>
      </c>
      <c r="R3" s="1" t="s">
        <v>61</v>
      </c>
      <c r="S3" s="1" t="s">
        <v>66</v>
      </c>
    </row>
    <row r="4" spans="1:19" ht="22.8">
      <c r="A4" s="1" t="s">
        <v>67</v>
      </c>
      <c r="B4" s="1" t="s">
        <v>68</v>
      </c>
      <c r="C4" s="1" t="s">
        <v>68</v>
      </c>
      <c r="D4" s="1" t="s">
        <v>55</v>
      </c>
      <c r="E4" s="1" t="s">
        <v>20</v>
      </c>
      <c r="F4" s="1"/>
      <c r="G4" s="1"/>
      <c r="H4" s="1"/>
      <c r="I4" s="1"/>
      <c r="J4" s="2"/>
      <c r="K4" s="3">
        <v>42.337500400000003</v>
      </c>
      <c r="L4" s="3">
        <v>69.652509699999996</v>
      </c>
      <c r="M4" s="1" t="s">
        <v>69</v>
      </c>
      <c r="N4" s="1"/>
      <c r="O4" s="1" t="s">
        <v>58</v>
      </c>
      <c r="P4" s="1" t="s">
        <v>59</v>
      </c>
      <c r="Q4" s="1" t="s">
        <v>60</v>
      </c>
      <c r="R4" s="1" t="s">
        <v>61</v>
      </c>
      <c r="S4" s="1" t="s">
        <v>66</v>
      </c>
    </row>
    <row r="5" spans="1:19" ht="22.8">
      <c r="A5" s="1" t="s">
        <v>70</v>
      </c>
      <c r="B5" s="1" t="s">
        <v>71</v>
      </c>
      <c r="C5" s="1" t="s">
        <v>71</v>
      </c>
      <c r="D5" s="1" t="s">
        <v>72</v>
      </c>
      <c r="E5" s="1" t="s">
        <v>20</v>
      </c>
      <c r="F5" s="1" t="s">
        <v>73</v>
      </c>
      <c r="G5" s="1"/>
      <c r="H5" s="1"/>
      <c r="I5" s="1"/>
      <c r="J5" s="2"/>
      <c r="K5" s="3">
        <v>42.3341992</v>
      </c>
      <c r="L5" s="3">
        <v>69.646667300000004</v>
      </c>
      <c r="M5" s="1" t="s">
        <v>74</v>
      </c>
      <c r="N5" s="1"/>
      <c r="O5" s="1" t="s">
        <v>58</v>
      </c>
      <c r="P5" s="1" t="s">
        <v>59</v>
      </c>
      <c r="Q5" s="1" t="s">
        <v>60</v>
      </c>
      <c r="R5" s="1" t="s">
        <v>61</v>
      </c>
      <c r="S5" s="1" t="s">
        <v>62</v>
      </c>
    </row>
    <row r="6" spans="1:19" ht="22.8">
      <c r="A6" s="1" t="s">
        <v>75</v>
      </c>
      <c r="B6" s="1" t="s">
        <v>76</v>
      </c>
      <c r="C6" s="1" t="s">
        <v>76</v>
      </c>
      <c r="D6" s="1" t="s">
        <v>55</v>
      </c>
      <c r="E6" s="1" t="s">
        <v>20</v>
      </c>
      <c r="F6" s="1"/>
      <c r="G6" s="1"/>
      <c r="H6" s="1"/>
      <c r="I6" s="1"/>
      <c r="J6" s="2"/>
      <c r="K6" s="3">
        <v>42.312662199999998</v>
      </c>
      <c r="L6" s="3">
        <v>69.585053299999998</v>
      </c>
      <c r="M6" s="1" t="s">
        <v>77</v>
      </c>
      <c r="N6" s="1"/>
      <c r="O6" s="1" t="s">
        <v>58</v>
      </c>
      <c r="P6" s="1" t="s">
        <v>59</v>
      </c>
      <c r="Q6" s="1" t="s">
        <v>60</v>
      </c>
      <c r="R6" s="1" t="s">
        <v>61</v>
      </c>
      <c r="S6" s="1" t="s">
        <v>66</v>
      </c>
    </row>
    <row r="7" spans="1:19" ht="22.8">
      <c r="A7" s="1" t="s">
        <v>78</v>
      </c>
      <c r="B7" s="1" t="s">
        <v>79</v>
      </c>
      <c r="C7" s="1" t="s">
        <v>79</v>
      </c>
      <c r="D7" s="1" t="s">
        <v>79</v>
      </c>
      <c r="E7" s="1" t="s">
        <v>20</v>
      </c>
      <c r="F7" s="1" t="s">
        <v>80</v>
      </c>
      <c r="G7" s="1"/>
      <c r="H7" s="1"/>
      <c r="I7" s="1"/>
      <c r="J7" s="2"/>
      <c r="K7" s="3">
        <v>42.314282900000002</v>
      </c>
      <c r="L7" s="3">
        <v>69.581917399999995</v>
      </c>
      <c r="M7" s="1" t="s">
        <v>81</v>
      </c>
      <c r="N7" s="1"/>
      <c r="O7" s="1" t="s">
        <v>58</v>
      </c>
      <c r="P7" s="1" t="s">
        <v>59</v>
      </c>
      <c r="Q7" s="1" t="s">
        <v>60</v>
      </c>
      <c r="R7" s="1" t="s">
        <v>61</v>
      </c>
      <c r="S7" s="1" t="s">
        <v>62</v>
      </c>
    </row>
    <row r="8" spans="1:19" ht="22.8">
      <c r="A8" s="1" t="s">
        <v>82</v>
      </c>
      <c r="B8" s="1" t="s">
        <v>79</v>
      </c>
      <c r="C8" s="1" t="s">
        <v>79</v>
      </c>
      <c r="D8" s="1" t="s">
        <v>79</v>
      </c>
      <c r="E8" s="1" t="s">
        <v>20</v>
      </c>
      <c r="F8" s="1" t="s">
        <v>83</v>
      </c>
      <c r="G8" s="1"/>
      <c r="H8" s="1"/>
      <c r="I8" s="1"/>
      <c r="J8" s="2"/>
      <c r="K8" s="3">
        <v>42.3171532</v>
      </c>
      <c r="L8" s="3">
        <v>69.639146800000006</v>
      </c>
      <c r="M8" s="1" t="s">
        <v>84</v>
      </c>
      <c r="N8" s="1"/>
      <c r="O8" s="1" t="s">
        <v>58</v>
      </c>
      <c r="P8" s="1" t="s">
        <v>59</v>
      </c>
      <c r="Q8" s="1" t="s">
        <v>60</v>
      </c>
      <c r="R8" s="1" t="s">
        <v>61</v>
      </c>
      <c r="S8" s="1" t="s">
        <v>62</v>
      </c>
    </row>
    <row r="9" spans="1:19" ht="22.8">
      <c r="A9" s="1" t="s">
        <v>85</v>
      </c>
      <c r="B9" s="1" t="s">
        <v>79</v>
      </c>
      <c r="C9" s="1" t="s">
        <v>79</v>
      </c>
      <c r="D9" s="1" t="s">
        <v>79</v>
      </c>
      <c r="E9" s="1" t="s">
        <v>20</v>
      </c>
      <c r="F9" s="1"/>
      <c r="G9" s="1"/>
      <c r="H9" s="1"/>
      <c r="I9" s="1"/>
      <c r="J9" s="2"/>
      <c r="K9" s="3">
        <v>42.344150300000003</v>
      </c>
      <c r="L9" s="3">
        <v>69.641809699999996</v>
      </c>
      <c r="M9" s="1" t="s">
        <v>86</v>
      </c>
      <c r="N9" s="1"/>
      <c r="O9" s="1" t="s">
        <v>58</v>
      </c>
      <c r="P9" s="1" t="s">
        <v>59</v>
      </c>
      <c r="Q9" s="1" t="s">
        <v>60</v>
      </c>
      <c r="R9" s="1" t="s">
        <v>61</v>
      </c>
      <c r="S9" s="1" t="s">
        <v>66</v>
      </c>
    </row>
    <row r="10" spans="1:19" ht="22.8">
      <c r="A10" s="1" t="s">
        <v>87</v>
      </c>
      <c r="B10" s="1" t="s">
        <v>88</v>
      </c>
      <c r="C10" s="1" t="s">
        <v>88</v>
      </c>
      <c r="D10" s="1" t="s">
        <v>55</v>
      </c>
      <c r="E10" s="1" t="s">
        <v>20</v>
      </c>
      <c r="F10" s="1" t="s">
        <v>89</v>
      </c>
      <c r="G10" s="1"/>
      <c r="H10" s="1"/>
      <c r="I10" s="1"/>
      <c r="J10" s="2"/>
      <c r="K10" s="3">
        <v>42.336542999999999</v>
      </c>
      <c r="L10" s="3">
        <v>69.574196700000002</v>
      </c>
      <c r="M10" s="1" t="s">
        <v>90</v>
      </c>
      <c r="N10" s="1"/>
      <c r="O10" s="1" t="s">
        <v>58</v>
      </c>
      <c r="P10" s="1" t="s">
        <v>59</v>
      </c>
      <c r="Q10" s="1" t="s">
        <v>60</v>
      </c>
      <c r="R10" s="1" t="s">
        <v>61</v>
      </c>
      <c r="S10" s="1" t="s">
        <v>62</v>
      </c>
    </row>
    <row r="11" spans="1:19" ht="22.8">
      <c r="A11" s="1" t="s">
        <v>91</v>
      </c>
      <c r="B11" s="1" t="s">
        <v>92</v>
      </c>
      <c r="C11" s="1" t="s">
        <v>92</v>
      </c>
      <c r="D11" s="1" t="s">
        <v>93</v>
      </c>
      <c r="E11" s="1" t="s">
        <v>20</v>
      </c>
      <c r="F11" s="1"/>
      <c r="G11" s="1"/>
      <c r="H11" s="1"/>
      <c r="I11" s="1"/>
      <c r="J11" s="2"/>
      <c r="K11" s="3">
        <v>42.313822999999999</v>
      </c>
      <c r="L11" s="3">
        <v>69.578768299999993</v>
      </c>
      <c r="M11" s="1" t="s">
        <v>94</v>
      </c>
      <c r="N11" s="1"/>
      <c r="O11" s="1" t="s">
        <v>58</v>
      </c>
      <c r="P11" s="1" t="s">
        <v>59</v>
      </c>
      <c r="Q11" s="1" t="s">
        <v>60</v>
      </c>
      <c r="R11" s="1" t="s">
        <v>61</v>
      </c>
      <c r="S11" s="1" t="s">
        <v>66</v>
      </c>
    </row>
    <row r="12" spans="1:19" ht="22.8">
      <c r="A12" s="1" t="s">
        <v>95</v>
      </c>
      <c r="B12" s="1" t="s">
        <v>96</v>
      </c>
      <c r="C12" s="1" t="s">
        <v>96</v>
      </c>
      <c r="D12" s="1" t="s">
        <v>55</v>
      </c>
      <c r="E12" s="1" t="s">
        <v>20</v>
      </c>
      <c r="F12" s="1" t="s">
        <v>97</v>
      </c>
      <c r="G12" s="1"/>
      <c r="H12" s="1"/>
      <c r="I12" s="1"/>
      <c r="J12" s="2"/>
      <c r="K12" s="3">
        <v>42.333480799999997</v>
      </c>
      <c r="L12" s="3">
        <v>69.607886399999998</v>
      </c>
      <c r="M12" s="1" t="s">
        <v>98</v>
      </c>
      <c r="N12" s="1"/>
      <c r="O12" s="1" t="s">
        <v>58</v>
      </c>
      <c r="P12" s="1" t="s">
        <v>59</v>
      </c>
      <c r="Q12" s="1" t="s">
        <v>60</v>
      </c>
      <c r="R12" s="1" t="s">
        <v>61</v>
      </c>
      <c r="S12" s="1" t="s">
        <v>62</v>
      </c>
    </row>
    <row r="13" spans="1:19" ht="22.8">
      <c r="A13" s="1" t="s">
        <v>99</v>
      </c>
      <c r="B13" s="1" t="s">
        <v>100</v>
      </c>
      <c r="C13" s="1" t="s">
        <v>100</v>
      </c>
      <c r="D13" s="1" t="s">
        <v>55</v>
      </c>
      <c r="E13" s="1" t="s">
        <v>20</v>
      </c>
      <c r="F13" s="1" t="s">
        <v>101</v>
      </c>
      <c r="G13" s="1"/>
      <c r="H13" s="1"/>
      <c r="I13" s="1"/>
      <c r="J13" s="2"/>
      <c r="K13" s="3">
        <v>42.3441963</v>
      </c>
      <c r="L13" s="3">
        <v>69.639933200000002</v>
      </c>
      <c r="M13" s="1" t="s">
        <v>102</v>
      </c>
      <c r="N13" s="1"/>
      <c r="O13" s="1" t="s">
        <v>58</v>
      </c>
      <c r="P13" s="1" t="s">
        <v>59</v>
      </c>
      <c r="Q13" s="1" t="s">
        <v>60</v>
      </c>
      <c r="R13" s="1" t="s">
        <v>61</v>
      </c>
      <c r="S13" s="1" t="s">
        <v>62</v>
      </c>
    </row>
    <row r="14" spans="1:19" ht="22.8">
      <c r="A14" s="1" t="s">
        <v>103</v>
      </c>
      <c r="B14" s="1" t="s">
        <v>104</v>
      </c>
      <c r="C14" s="1" t="s">
        <v>104</v>
      </c>
      <c r="D14" s="1" t="s">
        <v>55</v>
      </c>
      <c r="E14" s="1" t="s">
        <v>20</v>
      </c>
      <c r="F14" s="1" t="s">
        <v>105</v>
      </c>
      <c r="G14" s="1"/>
      <c r="H14" s="1"/>
      <c r="I14" s="1"/>
      <c r="J14" s="2"/>
      <c r="K14" s="3">
        <v>42.339281900000003</v>
      </c>
      <c r="L14" s="3">
        <v>69.639149000000003</v>
      </c>
      <c r="M14" s="1" t="s">
        <v>106</v>
      </c>
      <c r="N14" s="1"/>
      <c r="O14" s="1" t="s">
        <v>58</v>
      </c>
      <c r="P14" s="1" t="s">
        <v>59</v>
      </c>
      <c r="Q14" s="1" t="s">
        <v>60</v>
      </c>
      <c r="R14" s="1" t="s">
        <v>61</v>
      </c>
      <c r="S14" s="1" t="s">
        <v>62</v>
      </c>
    </row>
    <row r="15" spans="1:19" ht="22.8">
      <c r="A15" s="1" t="s">
        <v>107</v>
      </c>
      <c r="B15" s="1" t="s">
        <v>108</v>
      </c>
      <c r="C15" s="1" t="s">
        <v>108</v>
      </c>
      <c r="D15" s="1" t="s">
        <v>55</v>
      </c>
      <c r="E15" s="1" t="s">
        <v>20</v>
      </c>
      <c r="F15" s="1"/>
      <c r="G15" s="1"/>
      <c r="H15" s="1"/>
      <c r="I15" s="1"/>
      <c r="J15" s="2"/>
      <c r="K15" s="3">
        <v>42.392876299999998</v>
      </c>
      <c r="L15" s="3">
        <v>69.573054900000002</v>
      </c>
      <c r="M15" s="1" t="s">
        <v>109</v>
      </c>
      <c r="N15" s="1"/>
      <c r="O15" s="1" t="s">
        <v>58</v>
      </c>
      <c r="P15" s="1" t="s">
        <v>59</v>
      </c>
      <c r="Q15" s="1" t="s">
        <v>60</v>
      </c>
      <c r="R15" s="1" t="s">
        <v>61</v>
      </c>
      <c r="S15" s="1" t="s">
        <v>66</v>
      </c>
    </row>
    <row r="16" spans="1:19" ht="22.8">
      <c r="A16" s="1" t="s">
        <v>110</v>
      </c>
      <c r="B16" s="1" t="s">
        <v>111</v>
      </c>
      <c r="C16" s="1" t="s">
        <v>111</v>
      </c>
      <c r="D16" s="1" t="s">
        <v>55</v>
      </c>
      <c r="E16" s="1" t="s">
        <v>20</v>
      </c>
      <c r="F16" s="1"/>
      <c r="G16" s="1"/>
      <c r="H16" s="1"/>
      <c r="I16" s="1"/>
      <c r="J16" s="2"/>
      <c r="K16" s="3">
        <v>42.277751799999997</v>
      </c>
      <c r="L16" s="3">
        <v>69.593372299999999</v>
      </c>
      <c r="M16" s="1" t="s">
        <v>112</v>
      </c>
      <c r="N16" s="1"/>
      <c r="O16" s="1" t="s">
        <v>58</v>
      </c>
      <c r="P16" s="1" t="s">
        <v>59</v>
      </c>
      <c r="Q16" s="1" t="s">
        <v>60</v>
      </c>
      <c r="R16" s="1" t="s">
        <v>61</v>
      </c>
      <c r="S16" s="1" t="s">
        <v>66</v>
      </c>
    </row>
    <row r="17" spans="1:19" ht="22.8">
      <c r="A17" s="1" t="s">
        <v>113</v>
      </c>
      <c r="B17" s="1" t="s">
        <v>114</v>
      </c>
      <c r="C17" s="1" t="s">
        <v>114</v>
      </c>
      <c r="D17" s="1" t="s">
        <v>55</v>
      </c>
      <c r="E17" s="1" t="s">
        <v>20</v>
      </c>
      <c r="F17" s="1"/>
      <c r="G17" s="1"/>
      <c r="H17" s="1"/>
      <c r="I17" s="1"/>
      <c r="J17" s="2"/>
      <c r="K17" s="3">
        <v>42.406147400000002</v>
      </c>
      <c r="L17" s="3">
        <v>69.561700999999999</v>
      </c>
      <c r="M17" s="1" t="s">
        <v>115</v>
      </c>
      <c r="N17" s="1"/>
      <c r="O17" s="1" t="s">
        <v>58</v>
      </c>
      <c r="P17" s="1" t="s">
        <v>59</v>
      </c>
      <c r="Q17" s="1" t="s">
        <v>60</v>
      </c>
      <c r="R17" s="1" t="s">
        <v>61</v>
      </c>
      <c r="S17" s="1" t="s">
        <v>66</v>
      </c>
    </row>
    <row r="18" spans="1:19" ht="22.8">
      <c r="A18" s="1" t="s">
        <v>116</v>
      </c>
      <c r="B18" s="1" t="s">
        <v>117</v>
      </c>
      <c r="C18" s="1" t="s">
        <v>117</v>
      </c>
      <c r="D18" s="1" t="s">
        <v>55</v>
      </c>
      <c r="E18" s="1" t="s">
        <v>20</v>
      </c>
      <c r="F18" s="1"/>
      <c r="G18" s="1"/>
      <c r="H18" s="1"/>
      <c r="I18" s="1"/>
      <c r="J18" s="2"/>
      <c r="K18" s="3">
        <v>42.355813099999999</v>
      </c>
      <c r="L18" s="3">
        <v>69.714942699999995</v>
      </c>
      <c r="M18" s="1" t="s">
        <v>118</v>
      </c>
      <c r="N18" s="1"/>
      <c r="O18" s="1" t="s">
        <v>58</v>
      </c>
      <c r="P18" s="1" t="s">
        <v>59</v>
      </c>
      <c r="Q18" s="1" t="s">
        <v>60</v>
      </c>
      <c r="R18" s="1" t="s">
        <v>61</v>
      </c>
      <c r="S18" s="1" t="s">
        <v>66</v>
      </c>
    </row>
    <row r="19" spans="1:19" ht="22.8">
      <c r="A19" s="1" t="s">
        <v>119</v>
      </c>
      <c r="B19" s="1" t="s">
        <v>120</v>
      </c>
      <c r="C19" s="1" t="s">
        <v>120</v>
      </c>
      <c r="D19" s="1" t="s">
        <v>55</v>
      </c>
      <c r="E19" s="1" t="s">
        <v>20</v>
      </c>
      <c r="F19" s="1"/>
      <c r="G19" s="1"/>
      <c r="H19" s="1"/>
      <c r="I19" s="1"/>
      <c r="J19" s="2"/>
      <c r="K19" s="3">
        <v>42.308701800000001</v>
      </c>
      <c r="L19" s="3">
        <v>69.580509899999996</v>
      </c>
      <c r="M19" s="1" t="s">
        <v>121</v>
      </c>
      <c r="N19" s="1"/>
      <c r="O19" s="1" t="s">
        <v>58</v>
      </c>
      <c r="P19" s="1" t="s">
        <v>59</v>
      </c>
      <c r="Q19" s="1" t="s">
        <v>60</v>
      </c>
      <c r="R19" s="1" t="s">
        <v>61</v>
      </c>
      <c r="S19" s="1" t="s">
        <v>66</v>
      </c>
    </row>
    <row r="20" spans="1:19" ht="22.8">
      <c r="A20" s="1" t="s">
        <v>122</v>
      </c>
      <c r="B20" s="1" t="s">
        <v>123</v>
      </c>
      <c r="C20" s="1" t="s">
        <v>123</v>
      </c>
      <c r="D20" s="1" t="s">
        <v>55</v>
      </c>
      <c r="E20" s="1" t="s">
        <v>20</v>
      </c>
      <c r="F20" s="1"/>
      <c r="G20" s="1"/>
      <c r="H20" s="1"/>
      <c r="I20" s="1"/>
      <c r="J20" s="2"/>
      <c r="K20" s="3">
        <v>42.310501100000003</v>
      </c>
      <c r="L20" s="3">
        <v>69.598284000000007</v>
      </c>
      <c r="M20" s="1" t="s">
        <v>124</v>
      </c>
      <c r="N20" s="1"/>
      <c r="O20" s="1" t="s">
        <v>58</v>
      </c>
      <c r="P20" s="1" t="s">
        <v>59</v>
      </c>
      <c r="Q20" s="1" t="s">
        <v>60</v>
      </c>
      <c r="R20" s="1" t="s">
        <v>61</v>
      </c>
      <c r="S20" s="1" t="s">
        <v>66</v>
      </c>
    </row>
    <row r="21" spans="1:19" ht="22.8">
      <c r="A21" s="1" t="s">
        <v>125</v>
      </c>
      <c r="B21" s="1" t="s">
        <v>126</v>
      </c>
      <c r="C21" s="1" t="s">
        <v>126</v>
      </c>
      <c r="D21" s="1" t="s">
        <v>55</v>
      </c>
      <c r="E21" s="1" t="s">
        <v>20</v>
      </c>
      <c r="F21" s="1"/>
      <c r="G21" s="1"/>
      <c r="H21" s="1"/>
      <c r="I21" s="1"/>
      <c r="J21" s="2"/>
      <c r="K21" s="3">
        <v>42.298709600000002</v>
      </c>
      <c r="L21" s="3">
        <v>69.6172696</v>
      </c>
      <c r="M21" s="1" t="s">
        <v>127</v>
      </c>
      <c r="N21" s="1"/>
      <c r="O21" s="1" t="s">
        <v>58</v>
      </c>
      <c r="P21" s="1" t="s">
        <v>59</v>
      </c>
      <c r="Q21" s="1" t="s">
        <v>60</v>
      </c>
      <c r="R21" s="1" t="s">
        <v>61</v>
      </c>
      <c r="S21" s="1" t="s">
        <v>66</v>
      </c>
    </row>
    <row r="22" spans="1:19" ht="22.8">
      <c r="A22" s="1" t="s">
        <v>128</v>
      </c>
      <c r="B22" s="1" t="s">
        <v>129</v>
      </c>
      <c r="C22" s="1" t="s">
        <v>129</v>
      </c>
      <c r="D22" s="1" t="s">
        <v>130</v>
      </c>
      <c r="E22" s="1" t="s">
        <v>20</v>
      </c>
      <c r="F22" s="1" t="s">
        <v>131</v>
      </c>
      <c r="G22" s="1"/>
      <c r="H22" s="1"/>
      <c r="I22" s="1"/>
      <c r="J22" s="2"/>
      <c r="K22" s="3">
        <v>42.333221700000003</v>
      </c>
      <c r="L22" s="3">
        <v>69.613035600000003</v>
      </c>
      <c r="M22" s="1" t="s">
        <v>132</v>
      </c>
      <c r="N22" s="1"/>
      <c r="O22" s="1" t="s">
        <v>58</v>
      </c>
      <c r="P22" s="1" t="s">
        <v>59</v>
      </c>
      <c r="Q22" s="1" t="s">
        <v>60</v>
      </c>
      <c r="R22" s="1" t="s">
        <v>61</v>
      </c>
      <c r="S22" s="1" t="s">
        <v>62</v>
      </c>
    </row>
    <row r="23" spans="1:19" ht="22.8">
      <c r="A23" s="1" t="s">
        <v>133</v>
      </c>
      <c r="B23" s="1" t="s">
        <v>134</v>
      </c>
      <c r="C23" s="1" t="s">
        <v>134</v>
      </c>
      <c r="D23" s="1" t="s">
        <v>55</v>
      </c>
      <c r="E23" s="1" t="s">
        <v>20</v>
      </c>
      <c r="F23" s="1" t="s">
        <v>135</v>
      </c>
      <c r="G23" s="1"/>
      <c r="H23" s="1"/>
      <c r="I23" s="1"/>
      <c r="J23" s="2"/>
      <c r="K23" s="3">
        <v>42.342922299999998</v>
      </c>
      <c r="L23" s="3">
        <v>69.604184700000005</v>
      </c>
      <c r="M23" s="1" t="s">
        <v>136</v>
      </c>
      <c r="N23" s="1"/>
      <c r="O23" s="1" t="s">
        <v>58</v>
      </c>
      <c r="P23" s="1" t="s">
        <v>59</v>
      </c>
      <c r="Q23" s="1" t="s">
        <v>60</v>
      </c>
      <c r="R23" s="1" t="s">
        <v>61</v>
      </c>
      <c r="S23" s="1" t="s">
        <v>62</v>
      </c>
    </row>
    <row r="24" spans="1:19" ht="22.8">
      <c r="A24" s="1" t="s">
        <v>137</v>
      </c>
      <c r="B24" s="1" t="s">
        <v>138</v>
      </c>
      <c r="C24" s="1" t="s">
        <v>138</v>
      </c>
      <c r="D24" s="1" t="s">
        <v>55</v>
      </c>
      <c r="E24" s="1" t="s">
        <v>20</v>
      </c>
      <c r="F24" s="1" t="s">
        <v>139</v>
      </c>
      <c r="G24" s="1"/>
      <c r="H24" s="1"/>
      <c r="I24" s="1"/>
      <c r="J24" s="2"/>
      <c r="K24" s="3">
        <v>42.338638400000001</v>
      </c>
      <c r="L24" s="3">
        <v>69.643738900000002</v>
      </c>
      <c r="M24" s="1" t="s">
        <v>140</v>
      </c>
      <c r="N24" s="1"/>
      <c r="O24" s="1" t="s">
        <v>58</v>
      </c>
      <c r="P24" s="1" t="s">
        <v>59</v>
      </c>
      <c r="Q24" s="1" t="s">
        <v>60</v>
      </c>
      <c r="R24" s="1" t="s">
        <v>61</v>
      </c>
      <c r="S24" s="1" t="s">
        <v>62</v>
      </c>
    </row>
    <row r="25" spans="1:19" ht="22.8">
      <c r="A25" s="1" t="s">
        <v>141</v>
      </c>
      <c r="B25" s="1" t="s">
        <v>142</v>
      </c>
      <c r="C25" s="1" t="s">
        <v>142</v>
      </c>
      <c r="D25" s="1" t="s">
        <v>55</v>
      </c>
      <c r="E25" s="1" t="s">
        <v>20</v>
      </c>
      <c r="F25" s="1" t="s">
        <v>143</v>
      </c>
      <c r="G25" s="1"/>
      <c r="H25" s="1"/>
      <c r="I25" s="1"/>
      <c r="J25" s="2"/>
      <c r="K25" s="3">
        <v>42.4373109</v>
      </c>
      <c r="L25" s="3">
        <v>69.544221399999998</v>
      </c>
      <c r="M25" s="1" t="s">
        <v>144</v>
      </c>
      <c r="N25" s="1"/>
      <c r="O25" s="1" t="s">
        <v>58</v>
      </c>
      <c r="P25" s="1" t="s">
        <v>59</v>
      </c>
      <c r="Q25" s="1" t="s">
        <v>60</v>
      </c>
      <c r="R25" s="1" t="s">
        <v>61</v>
      </c>
      <c r="S25" s="1" t="s">
        <v>62</v>
      </c>
    </row>
    <row r="26" spans="1:19" ht="22.8">
      <c r="A26" s="1" t="s">
        <v>145</v>
      </c>
      <c r="B26" s="1" t="s">
        <v>146</v>
      </c>
      <c r="C26" s="1" t="s">
        <v>146</v>
      </c>
      <c r="D26" s="1" t="s">
        <v>55</v>
      </c>
      <c r="E26" s="1" t="s">
        <v>20</v>
      </c>
      <c r="F26" s="1"/>
      <c r="G26" s="1"/>
      <c r="H26" s="1"/>
      <c r="I26" s="1"/>
      <c r="J26" s="2"/>
      <c r="K26" s="3">
        <v>42.341515000000001</v>
      </c>
      <c r="L26" s="3">
        <v>69.644166200000001</v>
      </c>
      <c r="M26" s="1" t="s">
        <v>147</v>
      </c>
      <c r="N26" s="1"/>
      <c r="O26" s="1" t="s">
        <v>58</v>
      </c>
      <c r="P26" s="1" t="s">
        <v>59</v>
      </c>
      <c r="Q26" s="1" t="s">
        <v>60</v>
      </c>
      <c r="R26" s="1" t="s">
        <v>61</v>
      </c>
      <c r="S26" s="1" t="s">
        <v>66</v>
      </c>
    </row>
    <row r="27" spans="1:19" ht="22.8">
      <c r="A27" s="1" t="s">
        <v>148</v>
      </c>
      <c r="B27" s="1" t="s">
        <v>149</v>
      </c>
      <c r="C27" s="1" t="s">
        <v>149</v>
      </c>
      <c r="D27" s="1" t="s">
        <v>55</v>
      </c>
      <c r="E27" s="1" t="s">
        <v>20</v>
      </c>
      <c r="F27" s="1" t="s">
        <v>150</v>
      </c>
      <c r="G27" s="1"/>
      <c r="H27" s="1"/>
      <c r="I27" s="1"/>
      <c r="J27" s="2"/>
      <c r="K27" s="3">
        <v>42.319543099999997</v>
      </c>
      <c r="L27" s="3">
        <v>69.633246299999996</v>
      </c>
      <c r="M27" s="1" t="s">
        <v>151</v>
      </c>
      <c r="N27" s="1"/>
      <c r="O27" s="1" t="s">
        <v>58</v>
      </c>
      <c r="P27" s="1" t="s">
        <v>59</v>
      </c>
      <c r="Q27" s="1" t="s">
        <v>60</v>
      </c>
      <c r="R27" s="1" t="s">
        <v>61</v>
      </c>
      <c r="S27" s="1" t="s">
        <v>62</v>
      </c>
    </row>
    <row r="28" spans="1:19" ht="22.8">
      <c r="A28" s="1" t="s">
        <v>152</v>
      </c>
      <c r="B28" s="1" t="s">
        <v>153</v>
      </c>
      <c r="C28" s="1" t="s">
        <v>153</v>
      </c>
      <c r="D28" s="1" t="s">
        <v>55</v>
      </c>
      <c r="E28" s="1" t="s">
        <v>20</v>
      </c>
      <c r="F28" s="1"/>
      <c r="G28" s="1"/>
      <c r="H28" s="1"/>
      <c r="I28" s="1"/>
      <c r="J28" s="2"/>
      <c r="K28" s="3">
        <v>42.3821102</v>
      </c>
      <c r="L28" s="3">
        <v>69.646891600000004</v>
      </c>
      <c r="M28" s="1" t="s">
        <v>154</v>
      </c>
      <c r="N28" s="1"/>
      <c r="O28" s="1" t="s">
        <v>58</v>
      </c>
      <c r="P28" s="1" t="s">
        <v>59</v>
      </c>
      <c r="Q28" s="1" t="s">
        <v>60</v>
      </c>
      <c r="R28" s="1" t="s">
        <v>61</v>
      </c>
      <c r="S28" s="1" t="s">
        <v>66</v>
      </c>
    </row>
    <row r="29" spans="1:19" ht="22.8">
      <c r="A29" s="1" t="s">
        <v>155</v>
      </c>
      <c r="B29" s="1" t="s">
        <v>156</v>
      </c>
      <c r="C29" s="1" t="s">
        <v>156</v>
      </c>
      <c r="D29" s="1" t="s">
        <v>55</v>
      </c>
      <c r="E29" s="1" t="s">
        <v>20</v>
      </c>
      <c r="F29" s="1" t="s">
        <v>157</v>
      </c>
      <c r="G29" s="1"/>
      <c r="H29" s="1"/>
      <c r="I29" s="1"/>
      <c r="J29" s="2"/>
      <c r="K29" s="3">
        <v>42.388224100000002</v>
      </c>
      <c r="L29" s="3">
        <v>69.600168499999995</v>
      </c>
      <c r="M29" s="1" t="s">
        <v>158</v>
      </c>
      <c r="N29" s="1"/>
      <c r="O29" s="1" t="s">
        <v>58</v>
      </c>
      <c r="P29" s="1" t="s">
        <v>59</v>
      </c>
      <c r="Q29" s="1" t="s">
        <v>60</v>
      </c>
      <c r="R29" s="1" t="s">
        <v>61</v>
      </c>
      <c r="S29" s="1" t="s">
        <v>62</v>
      </c>
    </row>
    <row r="30" spans="1:19" ht="22.8">
      <c r="A30" s="1" t="s">
        <v>159</v>
      </c>
      <c r="B30" s="1" t="s">
        <v>160</v>
      </c>
      <c r="C30" s="1" t="s">
        <v>160</v>
      </c>
      <c r="D30" s="1" t="s">
        <v>55</v>
      </c>
      <c r="E30" s="1" t="s">
        <v>20</v>
      </c>
      <c r="F30" s="1"/>
      <c r="G30" s="1"/>
      <c r="H30" s="1"/>
      <c r="I30" s="1"/>
      <c r="J30" s="2"/>
      <c r="K30" s="3">
        <v>42.308710599999998</v>
      </c>
      <c r="L30" s="3">
        <v>69.585162699999998</v>
      </c>
      <c r="M30" s="1" t="s">
        <v>161</v>
      </c>
      <c r="N30" s="1"/>
      <c r="O30" s="1" t="s">
        <v>58</v>
      </c>
      <c r="P30" s="1" t="s">
        <v>59</v>
      </c>
      <c r="Q30" s="1" t="s">
        <v>60</v>
      </c>
      <c r="R30" s="1" t="s">
        <v>61</v>
      </c>
      <c r="S30" s="1" t="s">
        <v>66</v>
      </c>
    </row>
    <row r="31" spans="1:19" ht="22.8">
      <c r="A31" s="1" t="s">
        <v>162</v>
      </c>
      <c r="B31" s="1" t="s">
        <v>163</v>
      </c>
      <c r="C31" s="1" t="s">
        <v>163</v>
      </c>
      <c r="D31" s="1" t="s">
        <v>163</v>
      </c>
      <c r="E31" s="1" t="s">
        <v>20</v>
      </c>
      <c r="F31" s="1"/>
      <c r="G31" s="1"/>
      <c r="H31" s="1"/>
      <c r="I31" s="1"/>
      <c r="J31" s="2"/>
      <c r="K31" s="3">
        <v>42.3130004</v>
      </c>
      <c r="L31" s="3">
        <v>69.620533499999993</v>
      </c>
      <c r="M31" s="1" t="s">
        <v>164</v>
      </c>
      <c r="N31" s="1"/>
      <c r="O31" s="1" t="s">
        <v>58</v>
      </c>
      <c r="P31" s="1" t="s">
        <v>59</v>
      </c>
      <c r="Q31" s="1" t="s">
        <v>60</v>
      </c>
      <c r="R31" s="1" t="s">
        <v>61</v>
      </c>
      <c r="S31" s="1" t="s">
        <v>66</v>
      </c>
    </row>
    <row r="32" spans="1:19" ht="22.8">
      <c r="A32" s="1" t="s">
        <v>165</v>
      </c>
      <c r="B32" s="1" t="s">
        <v>166</v>
      </c>
      <c r="C32" s="1" t="s">
        <v>166</v>
      </c>
      <c r="D32" s="1" t="s">
        <v>166</v>
      </c>
      <c r="E32" s="1" t="s">
        <v>20</v>
      </c>
      <c r="F32" s="1"/>
      <c r="G32" s="1"/>
      <c r="H32" s="1"/>
      <c r="I32" s="1"/>
      <c r="J32" s="2"/>
      <c r="K32" s="3">
        <v>42.382030499999999</v>
      </c>
      <c r="L32" s="3">
        <v>69.647247500000006</v>
      </c>
      <c r="M32" s="1" t="s">
        <v>167</v>
      </c>
      <c r="N32" s="1"/>
      <c r="O32" s="1" t="s">
        <v>58</v>
      </c>
      <c r="P32" s="1" t="s">
        <v>59</v>
      </c>
      <c r="Q32" s="1" t="s">
        <v>60</v>
      </c>
      <c r="R32" s="1" t="s">
        <v>61</v>
      </c>
      <c r="S32" s="1" t="s">
        <v>66</v>
      </c>
    </row>
    <row r="33" spans="1:19" ht="22.8">
      <c r="A33" s="1" t="s">
        <v>168</v>
      </c>
      <c r="B33" s="1" t="s">
        <v>169</v>
      </c>
      <c r="C33" s="1" t="s">
        <v>169</v>
      </c>
      <c r="D33" s="1" t="s">
        <v>55</v>
      </c>
      <c r="E33" s="1" t="s">
        <v>20</v>
      </c>
      <c r="F33" s="1"/>
      <c r="G33" s="1"/>
      <c r="H33" s="1"/>
      <c r="I33" s="1"/>
      <c r="J33" s="2"/>
      <c r="K33" s="3">
        <v>42.310149199999998</v>
      </c>
      <c r="L33" s="3">
        <v>69.641901399999995</v>
      </c>
      <c r="M33" s="1" t="s">
        <v>170</v>
      </c>
      <c r="N33" s="1"/>
      <c r="O33" s="1" t="s">
        <v>58</v>
      </c>
      <c r="P33" s="1" t="s">
        <v>59</v>
      </c>
      <c r="Q33" s="1" t="s">
        <v>60</v>
      </c>
      <c r="R33" s="1" t="s">
        <v>61</v>
      </c>
      <c r="S33" s="1" t="s">
        <v>66</v>
      </c>
    </row>
    <row r="34" spans="1:19" ht="22.8">
      <c r="A34" s="1" t="s">
        <v>171</v>
      </c>
      <c r="B34" s="1" t="s">
        <v>172</v>
      </c>
      <c r="C34" s="1" t="s">
        <v>172</v>
      </c>
      <c r="D34" s="1" t="s">
        <v>55</v>
      </c>
      <c r="E34" s="1" t="s">
        <v>20</v>
      </c>
      <c r="F34" s="1"/>
      <c r="G34" s="1"/>
      <c r="H34" s="1"/>
      <c r="I34" s="1"/>
      <c r="J34" s="2"/>
      <c r="K34" s="3">
        <v>42.346483399999997</v>
      </c>
      <c r="L34" s="3">
        <v>69.617966100000004</v>
      </c>
      <c r="M34" s="1" t="s">
        <v>173</v>
      </c>
      <c r="N34" s="1"/>
      <c r="O34" s="1" t="s">
        <v>58</v>
      </c>
      <c r="P34" s="1" t="s">
        <v>59</v>
      </c>
      <c r="Q34" s="1" t="s">
        <v>60</v>
      </c>
      <c r="R34" s="1" t="s">
        <v>61</v>
      </c>
      <c r="S34" s="1" t="s">
        <v>66</v>
      </c>
    </row>
    <row r="35" spans="1:19" ht="22.8">
      <c r="A35" s="1" t="s">
        <v>174</v>
      </c>
      <c r="B35" s="1" t="s">
        <v>175</v>
      </c>
      <c r="C35" s="1" t="s">
        <v>175</v>
      </c>
      <c r="D35" s="1" t="s">
        <v>175</v>
      </c>
      <c r="E35" s="1" t="s">
        <v>20</v>
      </c>
      <c r="F35" s="1" t="s">
        <v>176</v>
      </c>
      <c r="G35" s="1"/>
      <c r="H35" s="1"/>
      <c r="I35" s="1"/>
      <c r="J35" s="2"/>
      <c r="K35" s="3">
        <v>42.299562799999997</v>
      </c>
      <c r="L35" s="3">
        <v>69.582439899999997</v>
      </c>
      <c r="M35" s="1" t="s">
        <v>177</v>
      </c>
      <c r="N35" s="1"/>
      <c r="O35" s="1" t="s">
        <v>58</v>
      </c>
      <c r="P35" s="1" t="s">
        <v>59</v>
      </c>
      <c r="Q35" s="1" t="s">
        <v>60</v>
      </c>
      <c r="R35" s="1" t="s">
        <v>61</v>
      </c>
      <c r="S35" s="1" t="s">
        <v>62</v>
      </c>
    </row>
    <row r="36" spans="1:19" ht="22.8">
      <c r="A36" s="1" t="s">
        <v>178</v>
      </c>
      <c r="B36" s="1" t="s">
        <v>179</v>
      </c>
      <c r="C36" s="1" t="s">
        <v>179</v>
      </c>
      <c r="D36" s="1" t="s">
        <v>55</v>
      </c>
      <c r="E36" s="1" t="s">
        <v>20</v>
      </c>
      <c r="F36" s="1" t="s">
        <v>180</v>
      </c>
      <c r="G36" s="1"/>
      <c r="H36" s="1"/>
      <c r="I36" s="1"/>
      <c r="J36" s="2"/>
      <c r="K36" s="3">
        <v>42.308477199999999</v>
      </c>
      <c r="L36" s="3">
        <v>69.641668699999997</v>
      </c>
      <c r="M36" s="1" t="s">
        <v>181</v>
      </c>
      <c r="N36" s="1"/>
      <c r="O36" s="1" t="s">
        <v>58</v>
      </c>
      <c r="P36" s="1" t="s">
        <v>59</v>
      </c>
      <c r="Q36" s="1" t="s">
        <v>60</v>
      </c>
      <c r="R36" s="1" t="s">
        <v>61</v>
      </c>
      <c r="S36" s="1" t="s">
        <v>62</v>
      </c>
    </row>
    <row r="37" spans="1:19" ht="22.8">
      <c r="A37" s="1" t="s">
        <v>182</v>
      </c>
      <c r="B37" s="1" t="s">
        <v>183</v>
      </c>
      <c r="C37" s="1" t="s">
        <v>183</v>
      </c>
      <c r="D37" s="1" t="s">
        <v>55</v>
      </c>
      <c r="E37" s="1" t="s">
        <v>20</v>
      </c>
      <c r="F37" s="1"/>
      <c r="G37" s="1"/>
      <c r="H37" s="1"/>
      <c r="I37" s="1"/>
      <c r="J37" s="2"/>
      <c r="K37" s="3">
        <v>42.303117700000001</v>
      </c>
      <c r="L37" s="3">
        <v>69.588775299999995</v>
      </c>
      <c r="M37" s="1" t="s">
        <v>184</v>
      </c>
      <c r="N37" s="1"/>
      <c r="O37" s="1" t="s">
        <v>58</v>
      </c>
      <c r="P37" s="1" t="s">
        <v>59</v>
      </c>
      <c r="Q37" s="1" t="s">
        <v>60</v>
      </c>
      <c r="R37" s="1" t="s">
        <v>61</v>
      </c>
      <c r="S37" s="1" t="s">
        <v>66</v>
      </c>
    </row>
    <row r="38" spans="1:19" ht="22.8">
      <c r="A38" s="1" t="s">
        <v>185</v>
      </c>
      <c r="B38" s="1" t="s">
        <v>186</v>
      </c>
      <c r="C38" s="1" t="s">
        <v>186</v>
      </c>
      <c r="D38" s="1" t="s">
        <v>55</v>
      </c>
      <c r="E38" s="1" t="s">
        <v>20</v>
      </c>
      <c r="F38" s="1" t="s">
        <v>187</v>
      </c>
      <c r="G38" s="1"/>
      <c r="H38" s="1"/>
      <c r="I38" s="1"/>
      <c r="J38" s="2"/>
      <c r="K38" s="3">
        <v>42.317684800000002</v>
      </c>
      <c r="L38" s="3">
        <v>69.580570499999993</v>
      </c>
      <c r="M38" s="1" t="s">
        <v>188</v>
      </c>
      <c r="N38" s="1"/>
      <c r="O38" s="1" t="s">
        <v>58</v>
      </c>
      <c r="P38" s="1" t="s">
        <v>59</v>
      </c>
      <c r="Q38" s="1" t="s">
        <v>60</v>
      </c>
      <c r="R38" s="1" t="s">
        <v>61</v>
      </c>
      <c r="S38" s="1" t="s">
        <v>62</v>
      </c>
    </row>
    <row r="39" spans="1:19" ht="22.8">
      <c r="A39" s="1" t="s">
        <v>189</v>
      </c>
      <c r="B39" s="1" t="s">
        <v>190</v>
      </c>
      <c r="C39" s="1" t="s">
        <v>190</v>
      </c>
      <c r="D39" s="1" t="s">
        <v>55</v>
      </c>
      <c r="E39" s="1" t="s">
        <v>20</v>
      </c>
      <c r="F39" s="1"/>
      <c r="G39" s="1"/>
      <c r="H39" s="1"/>
      <c r="I39" s="1"/>
      <c r="J39" s="2"/>
      <c r="K39" s="3">
        <v>42.340340099999999</v>
      </c>
      <c r="L39" s="3">
        <v>69.611957700000005</v>
      </c>
      <c r="M39" s="1" t="s">
        <v>191</v>
      </c>
      <c r="N39" s="1"/>
      <c r="O39" s="1" t="s">
        <v>58</v>
      </c>
      <c r="P39" s="1" t="s">
        <v>59</v>
      </c>
      <c r="Q39" s="1" t="s">
        <v>60</v>
      </c>
      <c r="R39" s="1" t="s">
        <v>61</v>
      </c>
      <c r="S39" s="1" t="s">
        <v>66</v>
      </c>
    </row>
    <row r="40" spans="1:19" ht="22.8">
      <c r="A40" s="1" t="s">
        <v>192</v>
      </c>
      <c r="B40" s="1" t="s">
        <v>193</v>
      </c>
      <c r="C40" s="1" t="s">
        <v>193</v>
      </c>
      <c r="D40" s="1" t="s">
        <v>193</v>
      </c>
      <c r="E40" s="1" t="s">
        <v>20</v>
      </c>
      <c r="F40" s="1" t="s">
        <v>56</v>
      </c>
      <c r="G40" s="1"/>
      <c r="H40" s="1"/>
      <c r="I40" s="1"/>
      <c r="J40" s="2"/>
      <c r="K40" s="3">
        <v>42.340938299999998</v>
      </c>
      <c r="L40" s="3">
        <v>69.638526499999998</v>
      </c>
      <c r="M40" s="1" t="s">
        <v>194</v>
      </c>
      <c r="N40" s="1"/>
      <c r="O40" s="1" t="s">
        <v>58</v>
      </c>
      <c r="P40" s="1" t="s">
        <v>59</v>
      </c>
      <c r="Q40" s="1" t="s">
        <v>60</v>
      </c>
      <c r="R40" s="1" t="s">
        <v>61</v>
      </c>
      <c r="S40" s="1" t="s">
        <v>62</v>
      </c>
    </row>
    <row r="41" spans="1:19" ht="22.8">
      <c r="A41" s="1" t="s">
        <v>195</v>
      </c>
      <c r="B41" s="1" t="s">
        <v>193</v>
      </c>
      <c r="C41" s="1" t="s">
        <v>193</v>
      </c>
      <c r="D41" s="1" t="s">
        <v>193</v>
      </c>
      <c r="E41" s="1" t="s">
        <v>20</v>
      </c>
      <c r="F41" s="1"/>
      <c r="G41" s="1"/>
      <c r="H41" s="1"/>
      <c r="I41" s="1"/>
      <c r="J41" s="2"/>
      <c r="K41" s="3">
        <v>42.343075900000002</v>
      </c>
      <c r="L41" s="3">
        <v>69.603449499999996</v>
      </c>
      <c r="M41" s="1" t="s">
        <v>196</v>
      </c>
      <c r="N41" s="1"/>
      <c r="O41" s="1" t="s">
        <v>58</v>
      </c>
      <c r="P41" s="1" t="s">
        <v>59</v>
      </c>
      <c r="Q41" s="1" t="s">
        <v>60</v>
      </c>
      <c r="R41" s="1" t="s">
        <v>61</v>
      </c>
      <c r="S41" s="1" t="s">
        <v>66</v>
      </c>
    </row>
    <row r="42" spans="1:19" ht="22.8">
      <c r="A42" s="1" t="s">
        <v>197</v>
      </c>
      <c r="B42" s="1" t="s">
        <v>198</v>
      </c>
      <c r="C42" s="1" t="s">
        <v>198</v>
      </c>
      <c r="D42" s="1" t="s">
        <v>55</v>
      </c>
      <c r="E42" s="1" t="s">
        <v>20</v>
      </c>
      <c r="F42" s="1" t="s">
        <v>187</v>
      </c>
      <c r="G42" s="1"/>
      <c r="H42" s="1"/>
      <c r="I42" s="1"/>
      <c r="J42" s="2"/>
      <c r="K42" s="3">
        <v>42.318304699999999</v>
      </c>
      <c r="L42" s="3">
        <v>69.576275300000006</v>
      </c>
      <c r="M42" s="1" t="s">
        <v>199</v>
      </c>
      <c r="N42" s="1"/>
      <c r="O42" s="1" t="s">
        <v>58</v>
      </c>
      <c r="P42" s="1" t="s">
        <v>59</v>
      </c>
      <c r="Q42" s="1" t="s">
        <v>60</v>
      </c>
      <c r="R42" s="1" t="s">
        <v>61</v>
      </c>
      <c r="S42" s="1" t="s">
        <v>62</v>
      </c>
    </row>
    <row r="43" spans="1:19" ht="22.8">
      <c r="A43" s="1" t="s">
        <v>200</v>
      </c>
      <c r="B43" s="1" t="s">
        <v>201</v>
      </c>
      <c r="C43" s="1" t="s">
        <v>201</v>
      </c>
      <c r="D43" s="1" t="s">
        <v>55</v>
      </c>
      <c r="E43" s="1" t="s">
        <v>20</v>
      </c>
      <c r="F43" s="1" t="s">
        <v>202</v>
      </c>
      <c r="G43" s="1"/>
      <c r="H43" s="1"/>
      <c r="I43" s="1"/>
      <c r="J43" s="2"/>
      <c r="K43" s="3">
        <v>42.404669499999997</v>
      </c>
      <c r="L43" s="3">
        <v>69.563528000000005</v>
      </c>
      <c r="M43" s="1" t="s">
        <v>203</v>
      </c>
      <c r="N43" s="1"/>
      <c r="O43" s="1" t="s">
        <v>58</v>
      </c>
      <c r="P43" s="1" t="s">
        <v>59</v>
      </c>
      <c r="Q43" s="1" t="s">
        <v>60</v>
      </c>
      <c r="R43" s="1" t="s">
        <v>61</v>
      </c>
      <c r="S43" s="1" t="s">
        <v>62</v>
      </c>
    </row>
    <row r="44" spans="1:19" ht="22.8">
      <c r="A44" s="1" t="s">
        <v>204</v>
      </c>
      <c r="B44" s="1" t="s">
        <v>205</v>
      </c>
      <c r="C44" s="1" t="s">
        <v>205</v>
      </c>
      <c r="D44" s="1" t="s">
        <v>205</v>
      </c>
      <c r="E44" s="1" t="s">
        <v>20</v>
      </c>
      <c r="F44" s="1"/>
      <c r="G44" s="1"/>
      <c r="H44" s="1"/>
      <c r="I44" s="1"/>
      <c r="J44" s="2"/>
      <c r="K44" s="3">
        <v>42.337194099999998</v>
      </c>
      <c r="L44" s="3">
        <v>69.600343899999999</v>
      </c>
      <c r="M44" s="1" t="s">
        <v>206</v>
      </c>
      <c r="N44" s="1"/>
      <c r="O44" s="1" t="s">
        <v>58</v>
      </c>
      <c r="P44" s="1" t="s">
        <v>59</v>
      </c>
      <c r="Q44" s="1" t="s">
        <v>60</v>
      </c>
      <c r="R44" s="1" t="s">
        <v>61</v>
      </c>
      <c r="S44" s="1" t="s">
        <v>66</v>
      </c>
    </row>
    <row r="45" spans="1:19" ht="22.8">
      <c r="A45" s="1" t="s">
        <v>207</v>
      </c>
      <c r="B45" s="1" t="s">
        <v>205</v>
      </c>
      <c r="C45" s="1" t="s">
        <v>205</v>
      </c>
      <c r="D45" s="1" t="s">
        <v>205</v>
      </c>
      <c r="E45" s="1" t="s">
        <v>20</v>
      </c>
      <c r="F45" s="1"/>
      <c r="G45" s="1"/>
      <c r="H45" s="1"/>
      <c r="I45" s="1"/>
      <c r="J45" s="2"/>
      <c r="K45" s="3">
        <v>42.342793700000001</v>
      </c>
      <c r="L45" s="3">
        <v>69.637748599999995</v>
      </c>
      <c r="M45" s="1" t="s">
        <v>208</v>
      </c>
      <c r="N45" s="1"/>
      <c r="O45" s="1" t="s">
        <v>58</v>
      </c>
      <c r="P45" s="1" t="s">
        <v>59</v>
      </c>
      <c r="Q45" s="1" t="s">
        <v>60</v>
      </c>
      <c r="R45" s="1" t="s">
        <v>61</v>
      </c>
      <c r="S45" s="1" t="s">
        <v>66</v>
      </c>
    </row>
    <row r="46" spans="1:19" ht="22.8">
      <c r="A46" s="1" t="s">
        <v>209</v>
      </c>
      <c r="B46" s="1" t="s">
        <v>210</v>
      </c>
      <c r="C46" s="1" t="s">
        <v>210</v>
      </c>
      <c r="D46" s="1" t="s">
        <v>55</v>
      </c>
      <c r="E46" s="1" t="s">
        <v>20</v>
      </c>
      <c r="F46" s="1"/>
      <c r="G46" s="1"/>
      <c r="H46" s="1"/>
      <c r="I46" s="1"/>
      <c r="J46" s="2"/>
      <c r="K46" s="3">
        <v>42.307909100000003</v>
      </c>
      <c r="L46" s="3">
        <v>69.580706500000005</v>
      </c>
      <c r="M46" s="1" t="s">
        <v>211</v>
      </c>
      <c r="N46" s="1"/>
      <c r="O46" s="1" t="s">
        <v>58</v>
      </c>
      <c r="P46" s="1" t="s">
        <v>59</v>
      </c>
      <c r="Q46" s="1" t="s">
        <v>60</v>
      </c>
      <c r="R46" s="1" t="s">
        <v>61</v>
      </c>
      <c r="S46" s="1" t="s">
        <v>66</v>
      </c>
    </row>
    <row r="47" spans="1:19" ht="22.8">
      <c r="A47" s="1" t="s">
        <v>212</v>
      </c>
      <c r="B47" s="1" t="s">
        <v>213</v>
      </c>
      <c r="C47" s="1" t="s">
        <v>213</v>
      </c>
      <c r="D47" s="1" t="s">
        <v>213</v>
      </c>
      <c r="E47" s="1" t="s">
        <v>20</v>
      </c>
      <c r="F47" s="1"/>
      <c r="G47" s="1"/>
      <c r="H47" s="1"/>
      <c r="I47" s="1"/>
      <c r="J47" s="2"/>
      <c r="K47" s="3">
        <v>42.316690000000001</v>
      </c>
      <c r="L47" s="3">
        <v>69.572855399999995</v>
      </c>
      <c r="M47" s="1" t="s">
        <v>214</v>
      </c>
      <c r="N47" s="1"/>
      <c r="O47" s="1" t="s">
        <v>58</v>
      </c>
      <c r="P47" s="1" t="s">
        <v>59</v>
      </c>
      <c r="Q47" s="1" t="s">
        <v>60</v>
      </c>
      <c r="R47" s="1" t="s">
        <v>61</v>
      </c>
      <c r="S47" s="1" t="s">
        <v>66</v>
      </c>
    </row>
    <row r="48" spans="1:19" ht="22.8">
      <c r="A48" s="1" t="s">
        <v>215</v>
      </c>
      <c r="B48" s="1" t="s">
        <v>213</v>
      </c>
      <c r="C48" s="1" t="s">
        <v>213</v>
      </c>
      <c r="D48" s="1" t="s">
        <v>213</v>
      </c>
      <c r="E48" s="1" t="s">
        <v>20</v>
      </c>
      <c r="F48" s="1" t="s">
        <v>216</v>
      </c>
      <c r="G48" s="1"/>
      <c r="H48" s="1"/>
      <c r="I48" s="1"/>
      <c r="J48" s="2"/>
      <c r="K48" s="3">
        <v>42.361801700000001</v>
      </c>
      <c r="L48" s="3">
        <v>69.628058899999999</v>
      </c>
      <c r="M48" s="1" t="s">
        <v>217</v>
      </c>
      <c r="N48" s="1"/>
      <c r="O48" s="1" t="s">
        <v>58</v>
      </c>
      <c r="P48" s="1" t="s">
        <v>59</v>
      </c>
      <c r="Q48" s="1" t="s">
        <v>60</v>
      </c>
      <c r="R48" s="1" t="s">
        <v>61</v>
      </c>
      <c r="S48" s="1" t="s">
        <v>62</v>
      </c>
    </row>
    <row r="49" spans="1:19" ht="22.8">
      <c r="A49" s="1" t="s">
        <v>218</v>
      </c>
      <c r="B49" s="1" t="s">
        <v>219</v>
      </c>
      <c r="C49" s="1" t="s">
        <v>219</v>
      </c>
      <c r="D49" s="1" t="s">
        <v>55</v>
      </c>
      <c r="E49" s="1" t="s">
        <v>20</v>
      </c>
      <c r="F49" s="1"/>
      <c r="G49" s="1"/>
      <c r="H49" s="1"/>
      <c r="I49" s="1"/>
      <c r="J49" s="2"/>
      <c r="K49" s="3">
        <v>42.405877199999999</v>
      </c>
      <c r="L49" s="3">
        <v>69.564047500000001</v>
      </c>
      <c r="M49" s="1" t="s">
        <v>220</v>
      </c>
      <c r="N49" s="1"/>
      <c r="O49" s="1" t="s">
        <v>58</v>
      </c>
      <c r="P49" s="1" t="s">
        <v>59</v>
      </c>
      <c r="Q49" s="1" t="s">
        <v>60</v>
      </c>
      <c r="R49" s="1" t="s">
        <v>61</v>
      </c>
      <c r="S49" s="1" t="s">
        <v>66</v>
      </c>
    </row>
    <row r="50" spans="1:19" ht="22.8">
      <c r="A50" s="1" t="s">
        <v>221</v>
      </c>
      <c r="B50" s="1" t="s">
        <v>222</v>
      </c>
      <c r="C50" s="1" t="s">
        <v>222</v>
      </c>
      <c r="D50" s="1" t="s">
        <v>55</v>
      </c>
      <c r="E50" s="1" t="s">
        <v>20</v>
      </c>
      <c r="F50" s="1"/>
      <c r="G50" s="1"/>
      <c r="H50" s="1"/>
      <c r="I50" s="1"/>
      <c r="J50" s="2"/>
      <c r="K50" s="3">
        <v>42.406444100000002</v>
      </c>
      <c r="L50" s="3">
        <v>69.566391600000003</v>
      </c>
      <c r="M50" s="1" t="s">
        <v>223</v>
      </c>
      <c r="N50" s="1"/>
      <c r="O50" s="1" t="s">
        <v>58</v>
      </c>
      <c r="P50" s="1" t="s">
        <v>59</v>
      </c>
      <c r="Q50" s="1" t="s">
        <v>60</v>
      </c>
      <c r="R50" s="1" t="s">
        <v>61</v>
      </c>
      <c r="S50" s="1" t="s">
        <v>66</v>
      </c>
    </row>
    <row r="51" spans="1:19" ht="22.8">
      <c r="A51" s="1" t="s">
        <v>224</v>
      </c>
      <c r="B51" s="1" t="s">
        <v>225</v>
      </c>
      <c r="C51" s="1" t="s">
        <v>225</v>
      </c>
      <c r="D51" s="1" t="s">
        <v>55</v>
      </c>
      <c r="E51" s="1" t="s">
        <v>20</v>
      </c>
      <c r="F51" s="1" t="s">
        <v>226</v>
      </c>
      <c r="G51" s="1"/>
      <c r="H51" s="1"/>
      <c r="I51" s="1"/>
      <c r="J51" s="2"/>
      <c r="K51" s="3">
        <v>42.339650800000001</v>
      </c>
      <c r="L51" s="3">
        <v>69.6450818</v>
      </c>
      <c r="M51" s="1" t="s">
        <v>227</v>
      </c>
      <c r="N51" s="1"/>
      <c r="O51" s="1" t="s">
        <v>58</v>
      </c>
      <c r="P51" s="1" t="s">
        <v>59</v>
      </c>
      <c r="Q51" s="1" t="s">
        <v>60</v>
      </c>
      <c r="R51" s="1" t="s">
        <v>61</v>
      </c>
      <c r="S51" s="1" t="s">
        <v>62</v>
      </c>
    </row>
    <row r="52" spans="1:19" ht="22.8">
      <c r="A52" s="1" t="s">
        <v>228</v>
      </c>
      <c r="B52" s="1" t="s">
        <v>229</v>
      </c>
      <c r="C52" s="1" t="s">
        <v>229</v>
      </c>
      <c r="D52" s="1" t="s">
        <v>55</v>
      </c>
      <c r="E52" s="1" t="s">
        <v>20</v>
      </c>
      <c r="F52" s="1"/>
      <c r="G52" s="1"/>
      <c r="H52" s="1"/>
      <c r="I52" s="1"/>
      <c r="J52" s="2"/>
      <c r="K52" s="3">
        <v>42.374084799999999</v>
      </c>
      <c r="L52" s="3">
        <v>69.653561699999997</v>
      </c>
      <c r="M52" s="1" t="s">
        <v>230</v>
      </c>
      <c r="N52" s="1"/>
      <c r="O52" s="1" t="s">
        <v>58</v>
      </c>
      <c r="P52" s="1" t="s">
        <v>59</v>
      </c>
      <c r="Q52" s="1" t="s">
        <v>60</v>
      </c>
      <c r="R52" s="1" t="s">
        <v>61</v>
      </c>
      <c r="S52" s="1" t="s">
        <v>66</v>
      </c>
    </row>
    <row r="53" spans="1:19" ht="22.8">
      <c r="A53" s="1" t="s">
        <v>231</v>
      </c>
      <c r="B53" s="1" t="s">
        <v>232</v>
      </c>
      <c r="C53" s="1" t="s">
        <v>232</v>
      </c>
      <c r="D53" s="1" t="s">
        <v>232</v>
      </c>
      <c r="E53" s="1" t="s">
        <v>20</v>
      </c>
      <c r="F53" s="1" t="s">
        <v>233</v>
      </c>
      <c r="G53" s="1"/>
      <c r="H53" s="1"/>
      <c r="I53" s="1"/>
      <c r="J53" s="2"/>
      <c r="K53" s="3">
        <v>42.335588100000002</v>
      </c>
      <c r="L53" s="3">
        <v>69.650016699999995</v>
      </c>
      <c r="M53" s="1" t="s">
        <v>234</v>
      </c>
      <c r="N53" s="1"/>
      <c r="O53" s="1" t="s">
        <v>58</v>
      </c>
      <c r="P53" s="1" t="s">
        <v>59</v>
      </c>
      <c r="Q53" s="1" t="s">
        <v>60</v>
      </c>
      <c r="R53" s="1" t="s">
        <v>61</v>
      </c>
      <c r="S53" s="1" t="s">
        <v>62</v>
      </c>
    </row>
    <row r="54" spans="1:19" ht="22.8">
      <c r="A54" s="1" t="s">
        <v>235</v>
      </c>
      <c r="B54" s="1" t="s">
        <v>232</v>
      </c>
      <c r="C54" s="1" t="s">
        <v>232</v>
      </c>
      <c r="D54" s="1" t="s">
        <v>232</v>
      </c>
      <c r="E54" s="1" t="s">
        <v>20</v>
      </c>
      <c r="F54" s="1" t="s">
        <v>236</v>
      </c>
      <c r="G54" s="1"/>
      <c r="H54" s="1"/>
      <c r="I54" s="1"/>
      <c r="J54" s="2"/>
      <c r="K54" s="3">
        <v>42.336908100000002</v>
      </c>
      <c r="L54" s="3">
        <v>69.642749899999998</v>
      </c>
      <c r="M54" s="1" t="s">
        <v>237</v>
      </c>
      <c r="N54" s="1"/>
      <c r="O54" s="1" t="s">
        <v>58</v>
      </c>
      <c r="P54" s="1" t="s">
        <v>59</v>
      </c>
      <c r="Q54" s="1" t="s">
        <v>60</v>
      </c>
      <c r="R54" s="1" t="s">
        <v>61</v>
      </c>
      <c r="S54" s="1" t="s">
        <v>62</v>
      </c>
    </row>
    <row r="55" spans="1:19" ht="22.8">
      <c r="A55" s="1" t="s">
        <v>238</v>
      </c>
      <c r="B55" s="1" t="s">
        <v>239</v>
      </c>
      <c r="C55" s="1" t="s">
        <v>239</v>
      </c>
      <c r="D55" s="1" t="s">
        <v>55</v>
      </c>
      <c r="E55" s="1" t="s">
        <v>20</v>
      </c>
      <c r="F55" s="1" t="s">
        <v>240</v>
      </c>
      <c r="G55" s="1"/>
      <c r="H55" s="1"/>
      <c r="I55" s="1"/>
      <c r="J55" s="2"/>
      <c r="K55" s="3">
        <v>42.313114800000001</v>
      </c>
      <c r="L55" s="3">
        <v>69.579882699999999</v>
      </c>
      <c r="M55" s="1" t="s">
        <v>241</v>
      </c>
      <c r="N55" s="1"/>
      <c r="O55" s="1" t="s">
        <v>58</v>
      </c>
      <c r="P55" s="1" t="s">
        <v>59</v>
      </c>
      <c r="Q55" s="1" t="s">
        <v>60</v>
      </c>
      <c r="R55" s="1" t="s">
        <v>61</v>
      </c>
      <c r="S55" s="1" t="s">
        <v>62</v>
      </c>
    </row>
    <row r="56" spans="1:19" ht="22.8">
      <c r="A56" s="1" t="s">
        <v>242</v>
      </c>
      <c r="B56" s="1" t="s">
        <v>243</v>
      </c>
      <c r="C56" s="1" t="s">
        <v>243</v>
      </c>
      <c r="D56" s="1" t="s">
        <v>243</v>
      </c>
      <c r="E56" s="1" t="s">
        <v>20</v>
      </c>
      <c r="F56" s="1"/>
      <c r="G56" s="1"/>
      <c r="H56" s="1"/>
      <c r="I56" s="1"/>
      <c r="J56" s="2"/>
      <c r="K56" s="3">
        <v>42.299446799999998</v>
      </c>
      <c r="L56" s="3">
        <v>69.610897199999997</v>
      </c>
      <c r="M56" s="1" t="s">
        <v>244</v>
      </c>
      <c r="N56" s="1"/>
      <c r="O56" s="1" t="s">
        <v>58</v>
      </c>
      <c r="P56" s="1" t="s">
        <v>59</v>
      </c>
      <c r="Q56" s="1" t="s">
        <v>60</v>
      </c>
      <c r="R56" s="1" t="s">
        <v>61</v>
      </c>
      <c r="S56" s="1" t="s">
        <v>66</v>
      </c>
    </row>
    <row r="57" spans="1:19" ht="22.8">
      <c r="A57" s="1" t="s">
        <v>245</v>
      </c>
      <c r="B57" s="1" t="s">
        <v>243</v>
      </c>
      <c r="C57" s="1" t="s">
        <v>243</v>
      </c>
      <c r="D57" s="1" t="s">
        <v>243</v>
      </c>
      <c r="E57" s="1" t="s">
        <v>20</v>
      </c>
      <c r="F57" s="1" t="s">
        <v>246</v>
      </c>
      <c r="G57" s="1"/>
      <c r="H57" s="1"/>
      <c r="I57" s="1"/>
      <c r="J57" s="2"/>
      <c r="K57" s="3">
        <v>42.333909300000002</v>
      </c>
      <c r="L57" s="3">
        <v>69.643910899999995</v>
      </c>
      <c r="M57" s="1" t="s">
        <v>247</v>
      </c>
      <c r="N57" s="1"/>
      <c r="O57" s="1" t="s">
        <v>58</v>
      </c>
      <c r="P57" s="1" t="s">
        <v>59</v>
      </c>
      <c r="Q57" s="1" t="s">
        <v>60</v>
      </c>
      <c r="R57" s="1" t="s">
        <v>61</v>
      </c>
      <c r="S57" s="1" t="s">
        <v>62</v>
      </c>
    </row>
    <row r="58" spans="1:19" ht="91.2">
      <c r="A58" s="1" t="s">
        <v>248</v>
      </c>
      <c r="B58" s="1" t="s">
        <v>249</v>
      </c>
      <c r="C58" s="1" t="s">
        <v>249</v>
      </c>
      <c r="D58" s="1" t="s">
        <v>249</v>
      </c>
      <c r="E58" s="1" t="s">
        <v>20</v>
      </c>
      <c r="F58" s="1" t="s">
        <v>250</v>
      </c>
      <c r="G58" s="1" t="s">
        <v>251</v>
      </c>
      <c r="H58" s="1" t="s">
        <v>252</v>
      </c>
      <c r="I58" s="1"/>
      <c r="J58" s="2"/>
      <c r="K58" s="3">
        <v>42.315812600000001</v>
      </c>
      <c r="L58" s="3">
        <v>69.580724599999996</v>
      </c>
      <c r="M58" s="1" t="s">
        <v>253</v>
      </c>
      <c r="N58" s="1" t="s">
        <v>254</v>
      </c>
      <c r="O58" s="1" t="s">
        <v>255</v>
      </c>
      <c r="P58" s="1" t="s">
        <v>59</v>
      </c>
      <c r="Q58" s="1" t="s">
        <v>60</v>
      </c>
      <c r="R58" s="1" t="s">
        <v>61</v>
      </c>
      <c r="S58" s="1" t="s">
        <v>66</v>
      </c>
    </row>
    <row r="59" spans="1:19" ht="22.8">
      <c r="A59" s="1" t="s">
        <v>256</v>
      </c>
      <c r="B59" s="1" t="s">
        <v>249</v>
      </c>
      <c r="C59" s="1" t="s">
        <v>249</v>
      </c>
      <c r="D59" s="1" t="s">
        <v>249</v>
      </c>
      <c r="E59" s="1" t="s">
        <v>20</v>
      </c>
      <c r="F59" s="1"/>
      <c r="G59" s="1"/>
      <c r="H59" s="1"/>
      <c r="I59" s="1"/>
      <c r="J59" s="2"/>
      <c r="K59" s="3">
        <v>42.394896600000003</v>
      </c>
      <c r="L59" s="3">
        <v>69.559448000000003</v>
      </c>
      <c r="M59" s="1" t="s">
        <v>257</v>
      </c>
      <c r="N59" s="1"/>
      <c r="O59" s="1" t="s">
        <v>58</v>
      </c>
      <c r="P59" s="1" t="s">
        <v>59</v>
      </c>
      <c r="Q59" s="1" t="s">
        <v>60</v>
      </c>
      <c r="R59" s="1" t="s">
        <v>61</v>
      </c>
      <c r="S59" s="1" t="s">
        <v>66</v>
      </c>
    </row>
    <row r="60" spans="1:19" ht="22.8">
      <c r="A60" s="1" t="s">
        <v>258</v>
      </c>
      <c r="B60" s="1" t="s">
        <v>259</v>
      </c>
      <c r="C60" s="1" t="s">
        <v>259</v>
      </c>
      <c r="D60" s="1" t="s">
        <v>55</v>
      </c>
      <c r="E60" s="1" t="s">
        <v>20</v>
      </c>
      <c r="F60" s="1" t="s">
        <v>56</v>
      </c>
      <c r="G60" s="1"/>
      <c r="H60" s="1"/>
      <c r="I60" s="1"/>
      <c r="J60" s="2"/>
      <c r="K60" s="3">
        <v>42.3424367</v>
      </c>
      <c r="L60" s="3">
        <v>69.6408402</v>
      </c>
      <c r="M60" s="1" t="s">
        <v>260</v>
      </c>
      <c r="N60" s="1"/>
      <c r="O60" s="1" t="s">
        <v>58</v>
      </c>
      <c r="P60" s="1" t="s">
        <v>59</v>
      </c>
      <c r="Q60" s="1" t="s">
        <v>60</v>
      </c>
      <c r="R60" s="1" t="s">
        <v>61</v>
      </c>
      <c r="S60" s="1" t="s">
        <v>62</v>
      </c>
    </row>
    <row r="61" spans="1:19" ht="22.8">
      <c r="A61" s="1" t="s">
        <v>261</v>
      </c>
      <c r="B61" s="1" t="s">
        <v>262</v>
      </c>
      <c r="C61" s="1" t="s">
        <v>262</v>
      </c>
      <c r="D61" s="1" t="s">
        <v>55</v>
      </c>
      <c r="E61" s="1" t="s">
        <v>20</v>
      </c>
      <c r="F61" s="1" t="s">
        <v>263</v>
      </c>
      <c r="G61" s="1"/>
      <c r="H61" s="1"/>
      <c r="I61" s="1"/>
      <c r="J61" s="2"/>
      <c r="K61" s="3">
        <v>42.307409800000002</v>
      </c>
      <c r="L61" s="3">
        <v>69.5724582</v>
      </c>
      <c r="M61" s="1" t="s">
        <v>264</v>
      </c>
      <c r="N61" s="1"/>
      <c r="O61" s="1" t="s">
        <v>58</v>
      </c>
      <c r="P61" s="1" t="s">
        <v>59</v>
      </c>
      <c r="Q61" s="1" t="s">
        <v>60</v>
      </c>
      <c r="R61" s="1" t="s">
        <v>61</v>
      </c>
      <c r="S61" s="1" t="s">
        <v>62</v>
      </c>
    </row>
    <row r="62" spans="1:19" ht="22.8">
      <c r="A62" s="1" t="s">
        <v>265</v>
      </c>
      <c r="B62" s="1" t="s">
        <v>266</v>
      </c>
      <c r="C62" s="1" t="s">
        <v>266</v>
      </c>
      <c r="D62" s="1" t="s">
        <v>55</v>
      </c>
      <c r="E62" s="1" t="s">
        <v>20</v>
      </c>
      <c r="F62" s="1"/>
      <c r="G62" s="1"/>
      <c r="H62" s="1"/>
      <c r="I62" s="1"/>
      <c r="J62" s="2"/>
      <c r="K62" s="3">
        <v>42.306915400000001</v>
      </c>
      <c r="L62" s="3">
        <v>69.5766268</v>
      </c>
      <c r="M62" s="1" t="s">
        <v>267</v>
      </c>
      <c r="N62" s="1"/>
      <c r="O62" s="1" t="s">
        <v>58</v>
      </c>
      <c r="P62" s="1" t="s">
        <v>59</v>
      </c>
      <c r="Q62" s="1" t="s">
        <v>60</v>
      </c>
      <c r="R62" s="1" t="s">
        <v>61</v>
      </c>
      <c r="S62" s="1" t="s">
        <v>66</v>
      </c>
    </row>
    <row r="63" spans="1:19" ht="22.8">
      <c r="A63" s="1" t="s">
        <v>268</v>
      </c>
      <c r="B63" s="1" t="s">
        <v>269</v>
      </c>
      <c r="C63" s="1" t="s">
        <v>269</v>
      </c>
      <c r="D63" s="1" t="s">
        <v>55</v>
      </c>
      <c r="E63" s="1" t="s">
        <v>20</v>
      </c>
      <c r="F63" s="1" t="s">
        <v>270</v>
      </c>
      <c r="G63" s="1"/>
      <c r="H63" s="1"/>
      <c r="I63" s="1"/>
      <c r="J63" s="2"/>
      <c r="K63" s="3">
        <v>42.3610088</v>
      </c>
      <c r="L63" s="3">
        <v>69.627644500000002</v>
      </c>
      <c r="M63" s="1" t="s">
        <v>271</v>
      </c>
      <c r="N63" s="1"/>
      <c r="O63" s="1" t="s">
        <v>58</v>
      </c>
      <c r="P63" s="1" t="s">
        <v>59</v>
      </c>
      <c r="Q63" s="1" t="s">
        <v>60</v>
      </c>
      <c r="R63" s="1" t="s">
        <v>61</v>
      </c>
      <c r="S63" s="1" t="s">
        <v>62</v>
      </c>
    </row>
    <row r="64" spans="1:19" ht="22.8">
      <c r="A64" s="1" t="s">
        <v>272</v>
      </c>
      <c r="B64" s="1" t="s">
        <v>273</v>
      </c>
      <c r="C64" s="1" t="s">
        <v>273</v>
      </c>
      <c r="D64" s="1" t="s">
        <v>55</v>
      </c>
      <c r="E64" s="1" t="s">
        <v>20</v>
      </c>
      <c r="F64" s="1"/>
      <c r="G64" s="1"/>
      <c r="H64" s="1"/>
      <c r="I64" s="1"/>
      <c r="J64" s="2"/>
      <c r="K64" s="3">
        <v>42.3738101</v>
      </c>
      <c r="L64" s="3">
        <v>69.627782800000006</v>
      </c>
      <c r="M64" s="1" t="s">
        <v>274</v>
      </c>
      <c r="N64" s="1"/>
      <c r="O64" s="1" t="s">
        <v>58</v>
      </c>
      <c r="P64" s="1" t="s">
        <v>59</v>
      </c>
      <c r="Q64" s="1" t="s">
        <v>60</v>
      </c>
      <c r="R64" s="1" t="s">
        <v>61</v>
      </c>
      <c r="S64" s="1" t="s">
        <v>66</v>
      </c>
    </row>
    <row r="65" spans="1:19" ht="22.8">
      <c r="A65" s="1" t="s">
        <v>275</v>
      </c>
      <c r="B65" s="1" t="s">
        <v>276</v>
      </c>
      <c r="C65" s="1" t="s">
        <v>276</v>
      </c>
      <c r="D65" s="1" t="s">
        <v>55</v>
      </c>
      <c r="E65" s="1" t="s">
        <v>20</v>
      </c>
      <c r="F65" s="1" t="s">
        <v>277</v>
      </c>
      <c r="G65" s="1"/>
      <c r="H65" s="1"/>
      <c r="I65" s="1"/>
      <c r="J65" s="2"/>
      <c r="K65" s="3">
        <v>42.374684600000002</v>
      </c>
      <c r="L65" s="3">
        <v>69.554834999999997</v>
      </c>
      <c r="M65" s="1" t="s">
        <v>278</v>
      </c>
      <c r="N65" s="1"/>
      <c r="O65" s="1" t="s">
        <v>58</v>
      </c>
      <c r="P65" s="1" t="s">
        <v>59</v>
      </c>
      <c r="Q65" s="1" t="s">
        <v>60</v>
      </c>
      <c r="R65" s="1" t="s">
        <v>61</v>
      </c>
      <c r="S65" s="1" t="s">
        <v>62</v>
      </c>
    </row>
    <row r="66" spans="1:19" ht="22.8">
      <c r="A66" s="1" t="s">
        <v>279</v>
      </c>
      <c r="B66" s="1" t="s">
        <v>280</v>
      </c>
      <c r="C66" s="1" t="s">
        <v>280</v>
      </c>
      <c r="D66" s="1" t="s">
        <v>55</v>
      </c>
      <c r="E66" s="1" t="s">
        <v>20</v>
      </c>
      <c r="F66" s="1" t="s">
        <v>281</v>
      </c>
      <c r="G66" s="1"/>
      <c r="H66" s="1"/>
      <c r="I66" s="1"/>
      <c r="J66" s="2"/>
      <c r="K66" s="3">
        <v>42.343473400000001</v>
      </c>
      <c r="L66" s="3">
        <v>69.6352902</v>
      </c>
      <c r="M66" s="1" t="s">
        <v>282</v>
      </c>
      <c r="N66" s="1"/>
      <c r="O66" s="1" t="s">
        <v>58</v>
      </c>
      <c r="P66" s="1" t="s">
        <v>59</v>
      </c>
      <c r="Q66" s="1" t="s">
        <v>60</v>
      </c>
      <c r="R66" s="1" t="s">
        <v>61</v>
      </c>
      <c r="S66" s="1" t="s">
        <v>62</v>
      </c>
    </row>
    <row r="67" spans="1:19" ht="22.8">
      <c r="A67" s="1" t="s">
        <v>283</v>
      </c>
      <c r="B67" s="1" t="s">
        <v>284</v>
      </c>
      <c r="C67" s="1" t="s">
        <v>284</v>
      </c>
      <c r="D67" s="1" t="s">
        <v>55</v>
      </c>
      <c r="E67" s="1" t="s">
        <v>20</v>
      </c>
      <c r="F67" s="1"/>
      <c r="G67" s="1"/>
      <c r="H67" s="1"/>
      <c r="I67" s="1"/>
      <c r="J67" s="2"/>
      <c r="K67" s="3">
        <v>42.324721199999999</v>
      </c>
      <c r="L67" s="3">
        <v>69.604557400000004</v>
      </c>
      <c r="M67" s="1" t="s">
        <v>285</v>
      </c>
      <c r="N67" s="1"/>
      <c r="O67" s="1" t="s">
        <v>58</v>
      </c>
      <c r="P67" s="1" t="s">
        <v>59</v>
      </c>
      <c r="Q67" s="1" t="s">
        <v>60</v>
      </c>
      <c r="R67" s="1" t="s">
        <v>61</v>
      </c>
      <c r="S67" s="1" t="s">
        <v>66</v>
      </c>
    </row>
    <row r="68" spans="1:19" ht="22.8">
      <c r="A68" s="1" t="s">
        <v>286</v>
      </c>
      <c r="B68" s="1" t="s">
        <v>287</v>
      </c>
      <c r="C68" s="1" t="s">
        <v>287</v>
      </c>
      <c r="D68" s="1" t="s">
        <v>55</v>
      </c>
      <c r="E68" s="1" t="s">
        <v>20</v>
      </c>
      <c r="F68" s="1" t="s">
        <v>288</v>
      </c>
      <c r="G68" s="1"/>
      <c r="H68" s="1"/>
      <c r="I68" s="1"/>
      <c r="J68" s="2"/>
      <c r="K68" s="3">
        <v>42.336155099999999</v>
      </c>
      <c r="L68" s="3">
        <v>69.574488299999999</v>
      </c>
      <c r="M68" s="1" t="s">
        <v>289</v>
      </c>
      <c r="N68" s="1"/>
      <c r="O68" s="1" t="s">
        <v>58</v>
      </c>
      <c r="P68" s="1" t="s">
        <v>59</v>
      </c>
      <c r="Q68" s="1" t="s">
        <v>60</v>
      </c>
      <c r="R68" s="1" t="s">
        <v>61</v>
      </c>
      <c r="S68" s="1" t="s">
        <v>62</v>
      </c>
    </row>
    <row r="69" spans="1:19" ht="22.8">
      <c r="A69" s="1" t="s">
        <v>290</v>
      </c>
      <c r="B69" s="1" t="s">
        <v>291</v>
      </c>
      <c r="C69" s="1" t="s">
        <v>291</v>
      </c>
      <c r="D69" s="1" t="s">
        <v>55</v>
      </c>
      <c r="E69" s="1" t="s">
        <v>20</v>
      </c>
      <c r="F69" s="1" t="s">
        <v>292</v>
      </c>
      <c r="G69" s="1"/>
      <c r="H69" s="1"/>
      <c r="I69" s="1"/>
      <c r="J69" s="2"/>
      <c r="K69" s="3">
        <v>42.390528400000001</v>
      </c>
      <c r="L69" s="3">
        <v>69.573352799999995</v>
      </c>
      <c r="M69" s="1" t="s">
        <v>293</v>
      </c>
      <c r="N69" s="1"/>
      <c r="O69" s="1" t="s">
        <v>58</v>
      </c>
      <c r="P69" s="1" t="s">
        <v>59</v>
      </c>
      <c r="Q69" s="1" t="s">
        <v>60</v>
      </c>
      <c r="R69" s="1" t="s">
        <v>61</v>
      </c>
      <c r="S69" s="1" t="s">
        <v>62</v>
      </c>
    </row>
    <row r="70" spans="1:19" ht="22.8">
      <c r="A70" s="1" t="s">
        <v>294</v>
      </c>
      <c r="B70" s="1" t="s">
        <v>295</v>
      </c>
      <c r="C70" s="1" t="s">
        <v>295</v>
      </c>
      <c r="D70" s="1" t="s">
        <v>55</v>
      </c>
      <c r="E70" s="1" t="s">
        <v>20</v>
      </c>
      <c r="F70" s="1" t="s">
        <v>296</v>
      </c>
      <c r="G70" s="1"/>
      <c r="H70" s="1"/>
      <c r="I70" s="1"/>
      <c r="J70" s="2"/>
      <c r="K70" s="3">
        <v>42.337832499999998</v>
      </c>
      <c r="L70" s="3">
        <v>69.641845000000004</v>
      </c>
      <c r="M70" s="1" t="s">
        <v>297</v>
      </c>
      <c r="N70" s="1"/>
      <c r="O70" s="1" t="s">
        <v>58</v>
      </c>
      <c r="P70" s="1" t="s">
        <v>59</v>
      </c>
      <c r="Q70" s="1" t="s">
        <v>60</v>
      </c>
      <c r="R70" s="1" t="s">
        <v>61</v>
      </c>
      <c r="S70" s="1" t="s">
        <v>62</v>
      </c>
    </row>
    <row r="71" spans="1:19" ht="22.8">
      <c r="A71" s="1" t="s">
        <v>298</v>
      </c>
      <c r="B71" s="1" t="s">
        <v>299</v>
      </c>
      <c r="C71" s="1" t="s">
        <v>299</v>
      </c>
      <c r="D71" s="1" t="s">
        <v>55</v>
      </c>
      <c r="E71" s="1" t="s">
        <v>20</v>
      </c>
      <c r="F71" s="1"/>
      <c r="G71" s="1"/>
      <c r="H71" s="1"/>
      <c r="I71" s="1"/>
      <c r="J71" s="2"/>
      <c r="K71" s="3">
        <v>42.314867599999999</v>
      </c>
      <c r="L71" s="3">
        <v>69.584361400000006</v>
      </c>
      <c r="M71" s="1" t="s">
        <v>300</v>
      </c>
      <c r="N71" s="1"/>
      <c r="O71" s="1" t="s">
        <v>58</v>
      </c>
      <c r="P71" s="1" t="s">
        <v>59</v>
      </c>
      <c r="Q71" s="1" t="s">
        <v>60</v>
      </c>
      <c r="R71" s="1" t="s">
        <v>61</v>
      </c>
      <c r="S71" s="1" t="s">
        <v>66</v>
      </c>
    </row>
    <row r="72" spans="1:19" ht="22.8">
      <c r="A72" s="1" t="s">
        <v>301</v>
      </c>
      <c r="B72" s="1" t="s">
        <v>302</v>
      </c>
      <c r="C72" s="1" t="s">
        <v>302</v>
      </c>
      <c r="D72" s="1" t="s">
        <v>302</v>
      </c>
      <c r="E72" s="1" t="s">
        <v>20</v>
      </c>
      <c r="F72" s="1"/>
      <c r="G72" s="1"/>
      <c r="H72" s="1"/>
      <c r="I72" s="1"/>
      <c r="J72" s="2"/>
      <c r="K72" s="3">
        <v>42.313669699999998</v>
      </c>
      <c r="L72" s="3">
        <v>69.576806399999995</v>
      </c>
      <c r="M72" s="1" t="s">
        <v>303</v>
      </c>
      <c r="N72" s="1"/>
      <c r="O72" s="1" t="s">
        <v>58</v>
      </c>
      <c r="P72" s="1" t="s">
        <v>59</v>
      </c>
      <c r="Q72" s="1" t="s">
        <v>60</v>
      </c>
      <c r="R72" s="1" t="s">
        <v>61</v>
      </c>
      <c r="S72" s="1" t="s">
        <v>66</v>
      </c>
    </row>
    <row r="73" spans="1:19" ht="22.8">
      <c r="A73" s="1" t="s">
        <v>304</v>
      </c>
      <c r="B73" s="1" t="s">
        <v>302</v>
      </c>
      <c r="C73" s="1" t="s">
        <v>302</v>
      </c>
      <c r="D73" s="1" t="s">
        <v>302</v>
      </c>
      <c r="E73" s="1" t="s">
        <v>20</v>
      </c>
      <c r="F73" s="1" t="s">
        <v>56</v>
      </c>
      <c r="G73" s="1"/>
      <c r="H73" s="1"/>
      <c r="I73" s="1"/>
      <c r="J73" s="2"/>
      <c r="K73" s="3">
        <v>42.345035099999997</v>
      </c>
      <c r="L73" s="3">
        <v>69.642933099999993</v>
      </c>
      <c r="M73" s="1" t="s">
        <v>305</v>
      </c>
      <c r="N73" s="1"/>
      <c r="O73" s="1" t="s">
        <v>58</v>
      </c>
      <c r="P73" s="1" t="s">
        <v>59</v>
      </c>
      <c r="Q73" s="1" t="s">
        <v>60</v>
      </c>
      <c r="R73" s="1" t="s">
        <v>61</v>
      </c>
      <c r="S73" s="1" t="s">
        <v>62</v>
      </c>
    </row>
    <row r="74" spans="1:19" ht="22.8">
      <c r="A74" s="1" t="s">
        <v>306</v>
      </c>
      <c r="B74" s="1" t="s">
        <v>307</v>
      </c>
      <c r="C74" s="1" t="s">
        <v>307</v>
      </c>
      <c r="D74" s="1" t="s">
        <v>307</v>
      </c>
      <c r="E74" s="1" t="s">
        <v>20</v>
      </c>
      <c r="F74" s="1" t="s">
        <v>308</v>
      </c>
      <c r="G74" s="1"/>
      <c r="H74" s="1"/>
      <c r="I74" s="1"/>
      <c r="J74" s="2"/>
      <c r="K74" s="3">
        <v>42.362353599999999</v>
      </c>
      <c r="L74" s="3">
        <v>69.631737099999995</v>
      </c>
      <c r="M74" s="1" t="s">
        <v>309</v>
      </c>
      <c r="N74" s="1"/>
      <c r="O74" s="1" t="s">
        <v>58</v>
      </c>
      <c r="P74" s="1" t="s">
        <v>59</v>
      </c>
      <c r="Q74" s="1" t="s">
        <v>60</v>
      </c>
      <c r="R74" s="1" t="s">
        <v>61</v>
      </c>
      <c r="S74" s="1" t="s">
        <v>62</v>
      </c>
    </row>
    <row r="75" spans="1:19" ht="22.8">
      <c r="A75" s="1" t="s">
        <v>310</v>
      </c>
      <c r="B75" s="1" t="s">
        <v>307</v>
      </c>
      <c r="C75" s="1" t="s">
        <v>307</v>
      </c>
      <c r="D75" s="1" t="s">
        <v>307</v>
      </c>
      <c r="E75" s="1" t="s">
        <v>20</v>
      </c>
      <c r="F75" s="1" t="s">
        <v>311</v>
      </c>
      <c r="G75" s="1"/>
      <c r="H75" s="1"/>
      <c r="I75" s="1"/>
      <c r="J75" s="2"/>
      <c r="K75" s="3">
        <v>42.406779399999998</v>
      </c>
      <c r="L75" s="3">
        <v>69.554464300000006</v>
      </c>
      <c r="M75" s="1" t="s">
        <v>312</v>
      </c>
      <c r="N75" s="1"/>
      <c r="O75" s="1" t="s">
        <v>58</v>
      </c>
      <c r="P75" s="1" t="s">
        <v>59</v>
      </c>
      <c r="Q75" s="1" t="s">
        <v>60</v>
      </c>
      <c r="R75" s="1" t="s">
        <v>61</v>
      </c>
      <c r="S75" s="1" t="s">
        <v>62</v>
      </c>
    </row>
    <row r="76" spans="1:19" ht="22.8">
      <c r="A76" s="1" t="s">
        <v>313</v>
      </c>
      <c r="B76" s="1" t="s">
        <v>314</v>
      </c>
      <c r="C76" s="1" t="s">
        <v>314</v>
      </c>
      <c r="D76" s="1" t="s">
        <v>55</v>
      </c>
      <c r="E76" s="1" t="s">
        <v>20</v>
      </c>
      <c r="F76" s="1" t="s">
        <v>315</v>
      </c>
      <c r="G76" s="1"/>
      <c r="H76" s="1"/>
      <c r="I76" s="1"/>
      <c r="J76" s="2"/>
      <c r="K76" s="3">
        <v>42.341252900000001</v>
      </c>
      <c r="L76" s="3">
        <v>69.644124899999994</v>
      </c>
      <c r="M76" s="1" t="s">
        <v>316</v>
      </c>
      <c r="N76" s="1"/>
      <c r="O76" s="1" t="s">
        <v>58</v>
      </c>
      <c r="P76" s="1" t="s">
        <v>59</v>
      </c>
      <c r="Q76" s="1" t="s">
        <v>60</v>
      </c>
      <c r="R76" s="1" t="s">
        <v>61</v>
      </c>
      <c r="S76" s="1" t="s">
        <v>62</v>
      </c>
    </row>
    <row r="77" spans="1:19" ht="22.8">
      <c r="A77" s="1" t="s">
        <v>317</v>
      </c>
      <c r="B77" s="1" t="s">
        <v>318</v>
      </c>
      <c r="C77" s="1" t="s">
        <v>318</v>
      </c>
      <c r="D77" s="1" t="s">
        <v>55</v>
      </c>
      <c r="E77" s="1" t="s">
        <v>20</v>
      </c>
      <c r="F77" s="1"/>
      <c r="G77" s="1"/>
      <c r="H77" s="1"/>
      <c r="I77" s="1"/>
      <c r="J77" s="2"/>
      <c r="K77" s="3">
        <v>42.345829600000002</v>
      </c>
      <c r="L77" s="3">
        <v>69.623905699999995</v>
      </c>
      <c r="M77" s="1" t="s">
        <v>319</v>
      </c>
      <c r="N77" s="1"/>
      <c r="O77" s="1" t="s">
        <v>58</v>
      </c>
      <c r="P77" s="1" t="s">
        <v>59</v>
      </c>
      <c r="Q77" s="1" t="s">
        <v>60</v>
      </c>
      <c r="R77" s="1" t="s">
        <v>61</v>
      </c>
      <c r="S77" s="1" t="s">
        <v>66</v>
      </c>
    </row>
    <row r="78" spans="1:19" ht="22.8">
      <c r="A78" s="1" t="s">
        <v>320</v>
      </c>
      <c r="B78" s="1" t="s">
        <v>321</v>
      </c>
      <c r="C78" s="1" t="s">
        <v>321</v>
      </c>
      <c r="D78" s="1" t="s">
        <v>55</v>
      </c>
      <c r="E78" s="1" t="s">
        <v>20</v>
      </c>
      <c r="F78" s="1" t="s">
        <v>322</v>
      </c>
      <c r="G78" s="1"/>
      <c r="H78" s="1"/>
      <c r="I78" s="1"/>
      <c r="J78" s="2"/>
      <c r="K78" s="3">
        <v>42.340597199999998</v>
      </c>
      <c r="L78" s="3">
        <v>69.6427786</v>
      </c>
      <c r="M78" s="1" t="s">
        <v>323</v>
      </c>
      <c r="N78" s="1"/>
      <c r="O78" s="1" t="s">
        <v>58</v>
      </c>
      <c r="P78" s="1" t="s">
        <v>59</v>
      </c>
      <c r="Q78" s="1" t="s">
        <v>60</v>
      </c>
      <c r="R78" s="1" t="s">
        <v>61</v>
      </c>
      <c r="S78" s="1" t="s">
        <v>62</v>
      </c>
    </row>
    <row r="79" spans="1:19" ht="22.8">
      <c r="A79" s="1" t="s">
        <v>324</v>
      </c>
      <c r="B79" s="1" t="s">
        <v>325</v>
      </c>
      <c r="C79" s="1" t="s">
        <v>325</v>
      </c>
      <c r="D79" s="1" t="s">
        <v>326</v>
      </c>
      <c r="E79" s="1" t="s">
        <v>20</v>
      </c>
      <c r="F79" s="1" t="s">
        <v>327</v>
      </c>
      <c r="G79" s="1"/>
      <c r="H79" s="1"/>
      <c r="I79" s="1"/>
      <c r="J79" s="2"/>
      <c r="K79" s="3">
        <v>42.338082200000002</v>
      </c>
      <c r="L79" s="3">
        <v>69.572866899999994</v>
      </c>
      <c r="M79" s="1" t="s">
        <v>328</v>
      </c>
      <c r="N79" s="1"/>
      <c r="O79" s="1" t="s">
        <v>58</v>
      </c>
      <c r="P79" s="1" t="s">
        <v>59</v>
      </c>
      <c r="Q79" s="1" t="s">
        <v>60</v>
      </c>
      <c r="R79" s="1" t="s">
        <v>61</v>
      </c>
      <c r="S79" s="1" t="s">
        <v>62</v>
      </c>
    </row>
    <row r="80" spans="1:19" ht="22.8">
      <c r="A80" s="1" t="s">
        <v>329</v>
      </c>
      <c r="B80" s="1" t="s">
        <v>330</v>
      </c>
      <c r="C80" s="1" t="s">
        <v>330</v>
      </c>
      <c r="D80" s="1" t="s">
        <v>55</v>
      </c>
      <c r="E80" s="1" t="s">
        <v>20</v>
      </c>
      <c r="F80" s="1"/>
      <c r="G80" s="1"/>
      <c r="H80" s="1"/>
      <c r="I80" s="1"/>
      <c r="J80" s="2"/>
      <c r="K80" s="3">
        <v>42.345018000000003</v>
      </c>
      <c r="L80" s="3">
        <v>69.6236502</v>
      </c>
      <c r="M80" s="1" t="s">
        <v>331</v>
      </c>
      <c r="N80" s="1"/>
      <c r="O80" s="1" t="s">
        <v>58</v>
      </c>
      <c r="P80" s="1" t="s">
        <v>59</v>
      </c>
      <c r="Q80" s="1" t="s">
        <v>60</v>
      </c>
      <c r="R80" s="1" t="s">
        <v>61</v>
      </c>
      <c r="S80" s="1" t="s">
        <v>66</v>
      </c>
    </row>
    <row r="81" spans="1:19" ht="22.8">
      <c r="A81" s="1" t="s">
        <v>332</v>
      </c>
      <c r="B81" s="1" t="s">
        <v>333</v>
      </c>
      <c r="C81" s="1" t="s">
        <v>333</v>
      </c>
      <c r="D81" s="1" t="s">
        <v>55</v>
      </c>
      <c r="E81" s="1" t="s">
        <v>20</v>
      </c>
      <c r="F81" s="1"/>
      <c r="G81" s="1"/>
      <c r="H81" s="1"/>
      <c r="I81" s="1"/>
      <c r="J81" s="2"/>
      <c r="K81" s="3">
        <v>42.374026700000002</v>
      </c>
      <c r="L81" s="3">
        <v>69.663857399999998</v>
      </c>
      <c r="M81" s="1" t="s">
        <v>334</v>
      </c>
      <c r="N81" s="1"/>
      <c r="O81" s="1" t="s">
        <v>58</v>
      </c>
      <c r="P81" s="1" t="s">
        <v>59</v>
      </c>
      <c r="Q81" s="1" t="s">
        <v>60</v>
      </c>
      <c r="R81" s="1" t="s">
        <v>61</v>
      </c>
      <c r="S81" s="1" t="s">
        <v>66</v>
      </c>
    </row>
    <row r="82" spans="1:19" ht="22.8">
      <c r="A82" s="1" t="s">
        <v>335</v>
      </c>
      <c r="B82" s="1" t="s">
        <v>336</v>
      </c>
      <c r="C82" s="1" t="s">
        <v>336</v>
      </c>
      <c r="D82" s="1" t="s">
        <v>55</v>
      </c>
      <c r="E82" s="1" t="s">
        <v>20</v>
      </c>
      <c r="F82" s="1"/>
      <c r="G82" s="1"/>
      <c r="H82" s="1"/>
      <c r="I82" s="1"/>
      <c r="J82" s="2"/>
      <c r="K82" s="3">
        <v>42.308175599999998</v>
      </c>
      <c r="L82" s="3">
        <v>69.568934100000007</v>
      </c>
      <c r="M82" s="1" t="s">
        <v>337</v>
      </c>
      <c r="N82" s="1"/>
      <c r="O82" s="1" t="s">
        <v>58</v>
      </c>
      <c r="P82" s="1" t="s">
        <v>59</v>
      </c>
      <c r="Q82" s="1" t="s">
        <v>60</v>
      </c>
      <c r="R82" s="1" t="s">
        <v>61</v>
      </c>
      <c r="S82" s="1" t="s">
        <v>66</v>
      </c>
    </row>
    <row r="83" spans="1:19" ht="22.8">
      <c r="A83" s="1" t="s">
        <v>338</v>
      </c>
      <c r="B83" s="1" t="s">
        <v>339</v>
      </c>
      <c r="C83" s="1" t="s">
        <v>339</v>
      </c>
      <c r="D83" s="1" t="s">
        <v>339</v>
      </c>
      <c r="E83" s="1" t="s">
        <v>20</v>
      </c>
      <c r="F83" s="1"/>
      <c r="G83" s="1"/>
      <c r="H83" s="1"/>
      <c r="I83" s="1"/>
      <c r="J83" s="2"/>
      <c r="K83" s="3">
        <v>42.315805500000003</v>
      </c>
      <c r="L83" s="3">
        <v>69.585183400000005</v>
      </c>
      <c r="M83" s="1" t="s">
        <v>340</v>
      </c>
      <c r="N83" s="1"/>
      <c r="O83" s="1" t="s">
        <v>58</v>
      </c>
      <c r="P83" s="1" t="s">
        <v>59</v>
      </c>
      <c r="Q83" s="1" t="s">
        <v>60</v>
      </c>
      <c r="R83" s="1" t="s">
        <v>61</v>
      </c>
      <c r="S83" s="1" t="s">
        <v>66</v>
      </c>
    </row>
    <row r="84" spans="1:19" ht="22.8">
      <c r="A84" s="1" t="s">
        <v>341</v>
      </c>
      <c r="B84" s="1" t="s">
        <v>339</v>
      </c>
      <c r="C84" s="1" t="s">
        <v>339</v>
      </c>
      <c r="D84" s="1" t="s">
        <v>339</v>
      </c>
      <c r="E84" s="1" t="s">
        <v>20</v>
      </c>
      <c r="F84" s="1" t="s">
        <v>56</v>
      </c>
      <c r="G84" s="1"/>
      <c r="H84" s="1"/>
      <c r="I84" s="1"/>
      <c r="J84" s="2"/>
      <c r="K84" s="3">
        <v>42.344141399999998</v>
      </c>
      <c r="L84" s="3">
        <v>69.644870800000007</v>
      </c>
      <c r="M84" s="1" t="s">
        <v>342</v>
      </c>
      <c r="N84" s="1"/>
      <c r="O84" s="1" t="s">
        <v>58</v>
      </c>
      <c r="P84" s="1" t="s">
        <v>59</v>
      </c>
      <c r="Q84" s="1" t="s">
        <v>60</v>
      </c>
      <c r="R84" s="1" t="s">
        <v>61</v>
      </c>
      <c r="S84" s="1" t="s">
        <v>62</v>
      </c>
    </row>
    <row r="85" spans="1:19" ht="22.8">
      <c r="A85" s="1" t="s">
        <v>343</v>
      </c>
      <c r="B85" s="1" t="s">
        <v>339</v>
      </c>
      <c r="C85" s="1" t="s">
        <v>339</v>
      </c>
      <c r="D85" s="1" t="s">
        <v>339</v>
      </c>
      <c r="E85" s="1" t="s">
        <v>20</v>
      </c>
      <c r="F85" s="1"/>
      <c r="G85" s="1"/>
      <c r="H85" s="1"/>
      <c r="I85" s="1"/>
      <c r="J85" s="2"/>
      <c r="K85" s="3">
        <v>42.346840399999998</v>
      </c>
      <c r="L85" s="3">
        <v>69.614751400000003</v>
      </c>
      <c r="M85" s="1" t="s">
        <v>344</v>
      </c>
      <c r="N85" s="1"/>
      <c r="O85" s="1" t="s">
        <v>58</v>
      </c>
      <c r="P85" s="1" t="s">
        <v>59</v>
      </c>
      <c r="Q85" s="1" t="s">
        <v>60</v>
      </c>
      <c r="R85" s="1" t="s">
        <v>61</v>
      </c>
      <c r="S85" s="1" t="s">
        <v>66</v>
      </c>
    </row>
    <row r="86" spans="1:19" ht="22.8">
      <c r="A86" s="1" t="s">
        <v>345</v>
      </c>
      <c r="B86" s="1" t="s">
        <v>339</v>
      </c>
      <c r="C86" s="1" t="s">
        <v>339</v>
      </c>
      <c r="D86" s="1" t="s">
        <v>339</v>
      </c>
      <c r="E86" s="1" t="s">
        <v>20</v>
      </c>
      <c r="F86" s="1"/>
      <c r="G86" s="1"/>
      <c r="H86" s="1"/>
      <c r="I86" s="1"/>
      <c r="J86" s="2"/>
      <c r="K86" s="3">
        <v>42.388888199999997</v>
      </c>
      <c r="L86" s="3">
        <v>69.580370900000005</v>
      </c>
      <c r="M86" s="1" t="s">
        <v>346</v>
      </c>
      <c r="N86" s="1"/>
      <c r="O86" s="1" t="s">
        <v>58</v>
      </c>
      <c r="P86" s="1" t="s">
        <v>59</v>
      </c>
      <c r="Q86" s="1" t="s">
        <v>60</v>
      </c>
      <c r="R86" s="1" t="s">
        <v>61</v>
      </c>
      <c r="S86" s="1" t="s">
        <v>66</v>
      </c>
    </row>
    <row r="87" spans="1:19" ht="22.8">
      <c r="A87" s="1" t="s">
        <v>347</v>
      </c>
      <c r="B87" s="1" t="s">
        <v>348</v>
      </c>
      <c r="C87" s="1" t="s">
        <v>348</v>
      </c>
      <c r="D87" s="1" t="s">
        <v>55</v>
      </c>
      <c r="E87" s="1" t="s">
        <v>20</v>
      </c>
      <c r="F87" s="1" t="s">
        <v>157</v>
      </c>
      <c r="G87" s="1"/>
      <c r="H87" s="1"/>
      <c r="I87" s="1"/>
      <c r="J87" s="2"/>
      <c r="K87" s="3">
        <v>42.402718999999998</v>
      </c>
      <c r="L87" s="3">
        <v>69.5769296</v>
      </c>
      <c r="M87" s="1" t="s">
        <v>349</v>
      </c>
      <c r="N87" s="1"/>
      <c r="O87" s="1" t="s">
        <v>58</v>
      </c>
      <c r="P87" s="1" t="s">
        <v>59</v>
      </c>
      <c r="Q87" s="1" t="s">
        <v>60</v>
      </c>
      <c r="R87" s="1" t="s">
        <v>61</v>
      </c>
      <c r="S87" s="1" t="s">
        <v>62</v>
      </c>
    </row>
    <row r="88" spans="1:19" ht="22.8">
      <c r="A88" s="1" t="s">
        <v>350</v>
      </c>
      <c r="B88" s="1" t="s">
        <v>351</v>
      </c>
      <c r="C88" s="1" t="s">
        <v>351</v>
      </c>
      <c r="D88" s="1" t="s">
        <v>55</v>
      </c>
      <c r="E88" s="1" t="s">
        <v>20</v>
      </c>
      <c r="F88" s="1" t="s">
        <v>352</v>
      </c>
      <c r="G88" s="1"/>
      <c r="H88" s="1"/>
      <c r="I88" s="1"/>
      <c r="J88" s="2"/>
      <c r="K88" s="3">
        <v>42.334887999999999</v>
      </c>
      <c r="L88" s="3">
        <v>69.643286700000004</v>
      </c>
      <c r="M88" s="1" t="s">
        <v>353</v>
      </c>
      <c r="N88" s="1"/>
      <c r="O88" s="1" t="s">
        <v>58</v>
      </c>
      <c r="P88" s="1" t="s">
        <v>59</v>
      </c>
      <c r="Q88" s="1" t="s">
        <v>60</v>
      </c>
      <c r="R88" s="1" t="s">
        <v>61</v>
      </c>
      <c r="S88" s="1" t="s">
        <v>62</v>
      </c>
    </row>
    <row r="89" spans="1:19" ht="22.8">
      <c r="A89" s="1" t="s">
        <v>354</v>
      </c>
      <c r="B89" s="1" t="s">
        <v>355</v>
      </c>
      <c r="C89" s="1" t="s">
        <v>355</v>
      </c>
      <c r="D89" s="1" t="s">
        <v>55</v>
      </c>
      <c r="E89" s="1" t="s">
        <v>20</v>
      </c>
      <c r="F89" s="1"/>
      <c r="G89" s="1"/>
      <c r="H89" s="1"/>
      <c r="I89" s="1"/>
      <c r="J89" s="2"/>
      <c r="K89" s="3">
        <v>42.322535999999999</v>
      </c>
      <c r="L89" s="3">
        <v>69.647579699999994</v>
      </c>
      <c r="M89" s="1" t="s">
        <v>356</v>
      </c>
      <c r="N89" s="1"/>
      <c r="O89" s="1" t="s">
        <v>58</v>
      </c>
      <c r="P89" s="1" t="s">
        <v>59</v>
      </c>
      <c r="Q89" s="1" t="s">
        <v>60</v>
      </c>
      <c r="R89" s="1" t="s">
        <v>61</v>
      </c>
      <c r="S89" s="1" t="s">
        <v>66</v>
      </c>
    </row>
    <row r="90" spans="1:19" ht="22.8">
      <c r="A90" s="1" t="s">
        <v>357</v>
      </c>
      <c r="B90" s="1" t="s">
        <v>358</v>
      </c>
      <c r="C90" s="1" t="s">
        <v>358</v>
      </c>
      <c r="D90" s="1" t="s">
        <v>55</v>
      </c>
      <c r="E90" s="1" t="s">
        <v>20</v>
      </c>
      <c r="F90" s="1" t="s">
        <v>359</v>
      </c>
      <c r="G90" s="1"/>
      <c r="H90" s="1"/>
      <c r="I90" s="1"/>
      <c r="J90" s="2"/>
      <c r="K90" s="3">
        <v>42.3391527</v>
      </c>
      <c r="L90" s="3">
        <v>69.6437423</v>
      </c>
      <c r="M90" s="1" t="s">
        <v>360</v>
      </c>
      <c r="N90" s="1"/>
      <c r="O90" s="1" t="s">
        <v>58</v>
      </c>
      <c r="P90" s="1" t="s">
        <v>59</v>
      </c>
      <c r="Q90" s="1" t="s">
        <v>60</v>
      </c>
      <c r="R90" s="1" t="s">
        <v>61</v>
      </c>
      <c r="S90" s="1" t="s">
        <v>62</v>
      </c>
    </row>
    <row r="91" spans="1:19" ht="22.8">
      <c r="A91" s="1" t="s">
        <v>361</v>
      </c>
      <c r="B91" s="1" t="s">
        <v>362</v>
      </c>
      <c r="C91" s="1" t="s">
        <v>362</v>
      </c>
      <c r="D91" s="1" t="s">
        <v>55</v>
      </c>
      <c r="E91" s="1" t="s">
        <v>20</v>
      </c>
      <c r="F91" s="1"/>
      <c r="G91" s="1"/>
      <c r="H91" s="1"/>
      <c r="I91" s="1"/>
      <c r="J91" s="2"/>
      <c r="K91" s="3">
        <v>42.314450399999998</v>
      </c>
      <c r="L91" s="3">
        <v>69.599686300000002</v>
      </c>
      <c r="M91" s="1" t="s">
        <v>363</v>
      </c>
      <c r="N91" s="1"/>
      <c r="O91" s="1" t="s">
        <v>58</v>
      </c>
      <c r="P91" s="1" t="s">
        <v>59</v>
      </c>
      <c r="Q91" s="1" t="s">
        <v>60</v>
      </c>
      <c r="R91" s="1" t="s">
        <v>61</v>
      </c>
      <c r="S91" s="1" t="s">
        <v>66</v>
      </c>
    </row>
    <row r="92" spans="1:19" ht="22.8">
      <c r="A92" s="1" t="s">
        <v>364</v>
      </c>
      <c r="B92" s="1" t="s">
        <v>365</v>
      </c>
      <c r="C92" s="1" t="s">
        <v>365</v>
      </c>
      <c r="D92" s="1" t="s">
        <v>55</v>
      </c>
      <c r="E92" s="1" t="s">
        <v>20</v>
      </c>
      <c r="F92" s="1" t="s">
        <v>97</v>
      </c>
      <c r="G92" s="1"/>
      <c r="H92" s="1"/>
      <c r="I92" s="1"/>
      <c r="J92" s="2"/>
      <c r="K92" s="3">
        <v>42.329161399999997</v>
      </c>
      <c r="L92" s="3">
        <v>69.606072900000001</v>
      </c>
      <c r="M92" s="1" t="s">
        <v>366</v>
      </c>
      <c r="N92" s="1"/>
      <c r="O92" s="1" t="s">
        <v>58</v>
      </c>
      <c r="P92" s="1" t="s">
        <v>59</v>
      </c>
      <c r="Q92" s="1" t="s">
        <v>60</v>
      </c>
      <c r="R92" s="1" t="s">
        <v>61</v>
      </c>
      <c r="S92" s="1" t="s">
        <v>62</v>
      </c>
    </row>
    <row r="93" spans="1:19" ht="22.8">
      <c r="A93" s="1" t="s">
        <v>367</v>
      </c>
      <c r="B93" s="1" t="s">
        <v>368</v>
      </c>
      <c r="C93" s="1" t="s">
        <v>368</v>
      </c>
      <c r="D93" s="1" t="s">
        <v>55</v>
      </c>
      <c r="E93" s="1" t="s">
        <v>20</v>
      </c>
      <c r="F93" s="1" t="s">
        <v>97</v>
      </c>
      <c r="G93" s="1"/>
      <c r="H93" s="1"/>
      <c r="I93" s="1"/>
      <c r="J93" s="2"/>
      <c r="K93" s="3">
        <v>42.334991799999997</v>
      </c>
      <c r="L93" s="3">
        <v>69.608879000000002</v>
      </c>
      <c r="M93" s="1" t="s">
        <v>369</v>
      </c>
      <c r="N93" s="1"/>
      <c r="O93" s="1" t="s">
        <v>58</v>
      </c>
      <c r="P93" s="1" t="s">
        <v>59</v>
      </c>
      <c r="Q93" s="1" t="s">
        <v>60</v>
      </c>
      <c r="R93" s="1" t="s">
        <v>61</v>
      </c>
      <c r="S93" s="1" t="s">
        <v>62</v>
      </c>
    </row>
    <row r="94" spans="1:19" ht="22.8">
      <c r="A94" s="1" t="s">
        <v>370</v>
      </c>
      <c r="B94" s="1" t="s">
        <v>371</v>
      </c>
      <c r="C94" s="1" t="s">
        <v>371</v>
      </c>
      <c r="D94" s="1" t="s">
        <v>55</v>
      </c>
      <c r="E94" s="1" t="s">
        <v>20</v>
      </c>
      <c r="F94" s="1"/>
      <c r="G94" s="1"/>
      <c r="H94" s="1"/>
      <c r="I94" s="1"/>
      <c r="J94" s="2"/>
      <c r="K94" s="3">
        <v>42.323165899999999</v>
      </c>
      <c r="L94" s="3">
        <v>69.647450000000006</v>
      </c>
      <c r="M94" s="1" t="s">
        <v>372</v>
      </c>
      <c r="N94" s="1"/>
      <c r="O94" s="1" t="s">
        <v>58</v>
      </c>
      <c r="P94" s="1" t="s">
        <v>59</v>
      </c>
      <c r="Q94" s="1" t="s">
        <v>60</v>
      </c>
      <c r="R94" s="1" t="s">
        <v>61</v>
      </c>
      <c r="S94" s="1" t="s">
        <v>66</v>
      </c>
    </row>
    <row r="95" spans="1:19" ht="22.8">
      <c r="A95" s="1" t="s">
        <v>373</v>
      </c>
      <c r="B95" s="1" t="s">
        <v>374</v>
      </c>
      <c r="C95" s="1" t="s">
        <v>374</v>
      </c>
      <c r="D95" s="1" t="s">
        <v>55</v>
      </c>
      <c r="E95" s="1" t="s">
        <v>20</v>
      </c>
      <c r="F95" s="1"/>
      <c r="G95" s="1"/>
      <c r="H95" s="1"/>
      <c r="I95" s="1"/>
      <c r="J95" s="2"/>
      <c r="K95" s="3">
        <v>42.343935500000001</v>
      </c>
      <c r="L95" s="3">
        <v>69.638445399999995</v>
      </c>
      <c r="M95" s="1" t="s">
        <v>375</v>
      </c>
      <c r="N95" s="1"/>
      <c r="O95" s="1" t="s">
        <v>58</v>
      </c>
      <c r="P95" s="1" t="s">
        <v>59</v>
      </c>
      <c r="Q95" s="1" t="s">
        <v>60</v>
      </c>
      <c r="R95" s="1" t="s">
        <v>61</v>
      </c>
      <c r="S95" s="1" t="s">
        <v>66</v>
      </c>
    </row>
    <row r="96" spans="1:19" ht="22.8">
      <c r="A96" s="1" t="s">
        <v>376</v>
      </c>
      <c r="B96" s="1" t="s">
        <v>377</v>
      </c>
      <c r="C96" s="1" t="s">
        <v>377</v>
      </c>
      <c r="D96" s="1" t="s">
        <v>55</v>
      </c>
      <c r="E96" s="1" t="s">
        <v>20</v>
      </c>
      <c r="F96" s="1" t="s">
        <v>378</v>
      </c>
      <c r="G96" s="1"/>
      <c r="H96" s="1"/>
      <c r="I96" s="1"/>
      <c r="J96" s="2"/>
      <c r="K96" s="3">
        <v>42.315942700000001</v>
      </c>
      <c r="L96" s="3">
        <v>69.6446313</v>
      </c>
      <c r="M96" s="1" t="s">
        <v>379</v>
      </c>
      <c r="N96" s="1"/>
      <c r="O96" s="1" t="s">
        <v>58</v>
      </c>
      <c r="P96" s="1" t="s">
        <v>59</v>
      </c>
      <c r="Q96" s="1" t="s">
        <v>60</v>
      </c>
      <c r="R96" s="1" t="s">
        <v>61</v>
      </c>
      <c r="S96" s="1" t="s">
        <v>62</v>
      </c>
    </row>
    <row r="97" spans="1:19" ht="22.8">
      <c r="A97" s="1" t="s">
        <v>380</v>
      </c>
      <c r="B97" s="1" t="s">
        <v>381</v>
      </c>
      <c r="C97" s="1" t="s">
        <v>381</v>
      </c>
      <c r="D97" s="1" t="s">
        <v>55</v>
      </c>
      <c r="E97" s="1" t="s">
        <v>20</v>
      </c>
      <c r="F97" s="1"/>
      <c r="G97" s="1"/>
      <c r="H97" s="1"/>
      <c r="I97" s="1"/>
      <c r="J97" s="2"/>
      <c r="K97" s="3">
        <v>42.343601700000001</v>
      </c>
      <c r="L97" s="3">
        <v>69.623533800000004</v>
      </c>
      <c r="M97" s="1" t="s">
        <v>382</v>
      </c>
      <c r="N97" s="1"/>
      <c r="O97" s="1" t="s">
        <v>58</v>
      </c>
      <c r="P97" s="1" t="s">
        <v>59</v>
      </c>
      <c r="Q97" s="1" t="s">
        <v>60</v>
      </c>
      <c r="R97" s="1" t="s">
        <v>61</v>
      </c>
      <c r="S97" s="1" t="s">
        <v>66</v>
      </c>
    </row>
    <row r="98" spans="1:19" ht="22.8">
      <c r="A98" s="1" t="s">
        <v>383</v>
      </c>
      <c r="B98" s="1" t="s">
        <v>384</v>
      </c>
      <c r="C98" s="1" t="s">
        <v>384</v>
      </c>
      <c r="D98" s="1" t="s">
        <v>55</v>
      </c>
      <c r="E98" s="1" t="s">
        <v>20</v>
      </c>
      <c r="F98" s="1"/>
      <c r="G98" s="1"/>
      <c r="H98" s="1"/>
      <c r="I98" s="1"/>
      <c r="J98" s="2"/>
      <c r="K98" s="3">
        <v>42.319449200000001</v>
      </c>
      <c r="L98" s="3">
        <v>69.584658300000001</v>
      </c>
      <c r="M98" s="1" t="s">
        <v>385</v>
      </c>
      <c r="N98" s="1"/>
      <c r="O98" s="1" t="s">
        <v>58</v>
      </c>
      <c r="P98" s="1" t="s">
        <v>59</v>
      </c>
      <c r="Q98" s="1" t="s">
        <v>60</v>
      </c>
      <c r="R98" s="1" t="s">
        <v>61</v>
      </c>
      <c r="S98" s="1" t="s">
        <v>66</v>
      </c>
    </row>
    <row r="99" spans="1:19" ht="22.8">
      <c r="A99" s="1" t="s">
        <v>386</v>
      </c>
      <c r="B99" s="1" t="s">
        <v>387</v>
      </c>
      <c r="C99" s="1" t="s">
        <v>387</v>
      </c>
      <c r="D99" s="1" t="s">
        <v>387</v>
      </c>
      <c r="E99" s="1" t="s">
        <v>20</v>
      </c>
      <c r="F99" s="1" t="s">
        <v>233</v>
      </c>
      <c r="G99" s="1"/>
      <c r="H99" s="1"/>
      <c r="I99" s="1"/>
      <c r="J99" s="2"/>
      <c r="K99" s="3">
        <v>42.340514499999998</v>
      </c>
      <c r="L99" s="3">
        <v>69.647022100000001</v>
      </c>
      <c r="M99" s="1" t="s">
        <v>388</v>
      </c>
      <c r="N99" s="1"/>
      <c r="O99" s="1" t="s">
        <v>58</v>
      </c>
      <c r="P99" s="1" t="s">
        <v>59</v>
      </c>
      <c r="Q99" s="1" t="s">
        <v>60</v>
      </c>
      <c r="R99" s="1" t="s">
        <v>61</v>
      </c>
      <c r="S99" s="1" t="s">
        <v>62</v>
      </c>
    </row>
    <row r="100" spans="1:19" ht="22.8">
      <c r="A100" s="1" t="s">
        <v>389</v>
      </c>
      <c r="B100" s="1" t="s">
        <v>387</v>
      </c>
      <c r="C100" s="1" t="s">
        <v>387</v>
      </c>
      <c r="D100" s="1" t="s">
        <v>387</v>
      </c>
      <c r="E100" s="1" t="s">
        <v>20</v>
      </c>
      <c r="F100" s="1" t="s">
        <v>56</v>
      </c>
      <c r="G100" s="1"/>
      <c r="H100" s="1"/>
      <c r="I100" s="1"/>
      <c r="J100" s="2"/>
      <c r="K100" s="3">
        <v>42.340768400000002</v>
      </c>
      <c r="L100" s="3">
        <v>69.643443899999994</v>
      </c>
      <c r="M100" s="1" t="s">
        <v>390</v>
      </c>
      <c r="N100" s="1"/>
      <c r="O100" s="1" t="s">
        <v>58</v>
      </c>
      <c r="P100" s="1" t="s">
        <v>59</v>
      </c>
      <c r="Q100" s="1" t="s">
        <v>60</v>
      </c>
      <c r="R100" s="1" t="s">
        <v>61</v>
      </c>
      <c r="S100" s="1" t="s">
        <v>62</v>
      </c>
    </row>
    <row r="101" spans="1:19" ht="22.8">
      <c r="A101" s="1" t="s">
        <v>391</v>
      </c>
      <c r="B101" s="1" t="s">
        <v>392</v>
      </c>
      <c r="C101" s="1" t="s">
        <v>392</v>
      </c>
      <c r="D101" s="1" t="s">
        <v>55</v>
      </c>
      <c r="E101" s="1" t="s">
        <v>20</v>
      </c>
      <c r="F101" s="1" t="s">
        <v>56</v>
      </c>
      <c r="G101" s="1"/>
      <c r="H101" s="1"/>
      <c r="I101" s="1"/>
      <c r="J101" s="2"/>
      <c r="K101" s="3">
        <v>42.340704299999999</v>
      </c>
      <c r="L101" s="3">
        <v>69.638474599999995</v>
      </c>
      <c r="M101" s="1" t="s">
        <v>393</v>
      </c>
      <c r="N101" s="1"/>
      <c r="O101" s="1" t="s">
        <v>58</v>
      </c>
      <c r="P101" s="1" t="s">
        <v>59</v>
      </c>
      <c r="Q101" s="1" t="s">
        <v>60</v>
      </c>
      <c r="R101" s="1" t="s">
        <v>61</v>
      </c>
      <c r="S101" s="1" t="s">
        <v>62</v>
      </c>
    </row>
    <row r="102" spans="1:19" ht="22.8">
      <c r="A102" s="1" t="s">
        <v>394</v>
      </c>
      <c r="B102" s="1" t="s">
        <v>395</v>
      </c>
      <c r="C102" s="1" t="s">
        <v>395</v>
      </c>
      <c r="D102" s="1" t="s">
        <v>55</v>
      </c>
      <c r="E102" s="1" t="s">
        <v>20</v>
      </c>
      <c r="F102" s="1" t="s">
        <v>233</v>
      </c>
      <c r="G102" s="1"/>
      <c r="H102" s="1"/>
      <c r="I102" s="1"/>
      <c r="J102" s="2"/>
      <c r="K102" s="3">
        <v>42.336441399999998</v>
      </c>
      <c r="L102" s="3">
        <v>69.647199400000005</v>
      </c>
      <c r="M102" s="1" t="s">
        <v>396</v>
      </c>
      <c r="N102" s="1"/>
      <c r="O102" s="1" t="s">
        <v>58</v>
      </c>
      <c r="P102" s="1" t="s">
        <v>59</v>
      </c>
      <c r="Q102" s="1" t="s">
        <v>60</v>
      </c>
      <c r="R102" s="1" t="s">
        <v>61</v>
      </c>
      <c r="S102" s="1" t="s">
        <v>62</v>
      </c>
    </row>
    <row r="103" spans="1:19" ht="22.8">
      <c r="A103" s="1" t="s">
        <v>397</v>
      </c>
      <c r="B103" s="1" t="s">
        <v>398</v>
      </c>
      <c r="C103" s="1" t="s">
        <v>398</v>
      </c>
      <c r="D103" s="1" t="s">
        <v>55</v>
      </c>
      <c r="E103" s="1" t="s">
        <v>20</v>
      </c>
      <c r="F103" s="1" t="s">
        <v>233</v>
      </c>
      <c r="G103" s="1"/>
      <c r="H103" s="1"/>
      <c r="I103" s="1"/>
      <c r="J103" s="2"/>
      <c r="K103" s="3">
        <v>42.339544500000002</v>
      </c>
      <c r="L103" s="3">
        <v>69.648069599999999</v>
      </c>
      <c r="M103" s="1" t="s">
        <v>399</v>
      </c>
      <c r="N103" s="1"/>
      <c r="O103" s="1" t="s">
        <v>58</v>
      </c>
      <c r="P103" s="1" t="s">
        <v>59</v>
      </c>
      <c r="Q103" s="1" t="s">
        <v>60</v>
      </c>
      <c r="R103" s="1" t="s">
        <v>61</v>
      </c>
      <c r="S103" s="1" t="s">
        <v>62</v>
      </c>
    </row>
    <row r="104" spans="1:19" ht="91.2">
      <c r="A104" s="1" t="s">
        <v>400</v>
      </c>
      <c r="B104" s="1" t="s">
        <v>401</v>
      </c>
      <c r="C104" s="1" t="s">
        <v>401</v>
      </c>
      <c r="D104" s="1" t="s">
        <v>55</v>
      </c>
      <c r="E104" s="1" t="s">
        <v>20</v>
      </c>
      <c r="F104" s="1" t="s">
        <v>402</v>
      </c>
      <c r="G104" s="1" t="s">
        <v>403</v>
      </c>
      <c r="H104" s="1" t="s">
        <v>404</v>
      </c>
      <c r="I104" s="1"/>
      <c r="J104" s="2"/>
      <c r="K104" s="3">
        <v>42.370252800000003</v>
      </c>
      <c r="L104" s="3">
        <v>69.502116299999997</v>
      </c>
      <c r="M104" s="1" t="s">
        <v>405</v>
      </c>
      <c r="N104" s="1" t="s">
        <v>406</v>
      </c>
      <c r="O104" s="1" t="s">
        <v>255</v>
      </c>
      <c r="P104" s="1" t="s">
        <v>59</v>
      </c>
      <c r="Q104" s="1" t="s">
        <v>60</v>
      </c>
      <c r="R104" s="1" t="s">
        <v>61</v>
      </c>
      <c r="S104" s="1" t="s">
        <v>407</v>
      </c>
    </row>
    <row r="105" spans="1:19" ht="22.8">
      <c r="A105" s="1" t="s">
        <v>408</v>
      </c>
      <c r="B105" s="1" t="s">
        <v>409</v>
      </c>
      <c r="C105" s="1" t="s">
        <v>409</v>
      </c>
      <c r="D105" s="1" t="s">
        <v>55</v>
      </c>
      <c r="E105" s="1" t="s">
        <v>20</v>
      </c>
      <c r="F105" s="1" t="s">
        <v>56</v>
      </c>
      <c r="G105" s="1"/>
      <c r="H105" s="1"/>
      <c r="I105" s="1"/>
      <c r="J105" s="2"/>
      <c r="K105" s="3">
        <v>42.339753199999997</v>
      </c>
      <c r="L105" s="3">
        <v>69.639432799999994</v>
      </c>
      <c r="M105" s="1" t="s">
        <v>410</v>
      </c>
      <c r="N105" s="1"/>
      <c r="O105" s="1" t="s">
        <v>58</v>
      </c>
      <c r="P105" s="1" t="s">
        <v>59</v>
      </c>
      <c r="Q105" s="1" t="s">
        <v>60</v>
      </c>
      <c r="R105" s="1" t="s">
        <v>61</v>
      </c>
      <c r="S105" s="1" t="s">
        <v>62</v>
      </c>
    </row>
    <row r="106" spans="1:19" ht="22.8">
      <c r="A106" s="1" t="s">
        <v>411</v>
      </c>
      <c r="B106" s="1" t="s">
        <v>412</v>
      </c>
      <c r="C106" s="1" t="s">
        <v>412</v>
      </c>
      <c r="D106" s="1" t="s">
        <v>412</v>
      </c>
      <c r="E106" s="1" t="s">
        <v>20</v>
      </c>
      <c r="F106" s="1" t="s">
        <v>233</v>
      </c>
      <c r="G106" s="1"/>
      <c r="H106" s="1"/>
      <c r="I106" s="1"/>
      <c r="J106" s="2"/>
      <c r="K106" s="3">
        <v>42.338979999999999</v>
      </c>
      <c r="L106" s="3">
        <v>69.643102900000002</v>
      </c>
      <c r="M106" s="1" t="s">
        <v>413</v>
      </c>
      <c r="N106" s="1"/>
      <c r="O106" s="1" t="s">
        <v>58</v>
      </c>
      <c r="P106" s="1" t="s">
        <v>59</v>
      </c>
      <c r="Q106" s="1" t="s">
        <v>60</v>
      </c>
      <c r="R106" s="1" t="s">
        <v>61</v>
      </c>
      <c r="S106" s="1" t="s">
        <v>62</v>
      </c>
    </row>
    <row r="107" spans="1:19" ht="22.8">
      <c r="A107" s="1" t="s">
        <v>414</v>
      </c>
      <c r="B107" s="1" t="s">
        <v>412</v>
      </c>
      <c r="C107" s="1" t="s">
        <v>412</v>
      </c>
      <c r="D107" s="1" t="s">
        <v>412</v>
      </c>
      <c r="E107" s="1" t="s">
        <v>20</v>
      </c>
      <c r="F107" s="1"/>
      <c r="G107" s="1"/>
      <c r="H107" s="1"/>
      <c r="I107" s="1"/>
      <c r="J107" s="2"/>
      <c r="K107" s="3">
        <v>42.343929500000002</v>
      </c>
      <c r="L107" s="3">
        <v>69.620029099999996</v>
      </c>
      <c r="M107" s="1" t="s">
        <v>415</v>
      </c>
      <c r="N107" s="1"/>
      <c r="O107" s="1" t="s">
        <v>58</v>
      </c>
      <c r="P107" s="1" t="s">
        <v>59</v>
      </c>
      <c r="Q107" s="1" t="s">
        <v>60</v>
      </c>
      <c r="R107" s="1" t="s">
        <v>61</v>
      </c>
      <c r="S107" s="1" t="s">
        <v>66</v>
      </c>
    </row>
    <row r="108" spans="1:19" ht="22.8">
      <c r="A108" s="1" t="s">
        <v>416</v>
      </c>
      <c r="B108" s="1" t="s">
        <v>417</v>
      </c>
      <c r="C108" s="1" t="s">
        <v>417</v>
      </c>
      <c r="D108" s="1" t="s">
        <v>55</v>
      </c>
      <c r="E108" s="1" t="s">
        <v>20</v>
      </c>
      <c r="F108" s="1" t="s">
        <v>418</v>
      </c>
      <c r="G108" s="1"/>
      <c r="H108" s="1"/>
      <c r="I108" s="1"/>
      <c r="J108" s="2"/>
      <c r="K108" s="3">
        <v>42.366931000000001</v>
      </c>
      <c r="L108" s="3">
        <v>69.665195900000001</v>
      </c>
      <c r="M108" s="1" t="s">
        <v>419</v>
      </c>
      <c r="N108" s="1"/>
      <c r="O108" s="1" t="s">
        <v>58</v>
      </c>
      <c r="P108" s="1" t="s">
        <v>59</v>
      </c>
      <c r="Q108" s="1" t="s">
        <v>60</v>
      </c>
      <c r="R108" s="1" t="s">
        <v>61</v>
      </c>
      <c r="S108" s="1" t="s">
        <v>62</v>
      </c>
    </row>
    <row r="109" spans="1:19" ht="22.8">
      <c r="A109" s="1" t="s">
        <v>420</v>
      </c>
      <c r="B109" s="1" t="s">
        <v>421</v>
      </c>
      <c r="C109" s="1" t="s">
        <v>421</v>
      </c>
      <c r="D109" s="1" t="s">
        <v>421</v>
      </c>
      <c r="E109" s="1" t="s">
        <v>20</v>
      </c>
      <c r="F109" s="1" t="s">
        <v>422</v>
      </c>
      <c r="G109" s="1"/>
      <c r="H109" s="1"/>
      <c r="I109" s="1"/>
      <c r="J109" s="2"/>
      <c r="K109" s="3">
        <v>42.218526199999999</v>
      </c>
      <c r="L109" s="3">
        <v>69.804798099999999</v>
      </c>
      <c r="M109" s="1" t="s">
        <v>423</v>
      </c>
      <c r="N109" s="1"/>
      <c r="O109" s="1" t="s">
        <v>58</v>
      </c>
      <c r="P109" s="1" t="s">
        <v>59</v>
      </c>
      <c r="Q109" s="1" t="s">
        <v>60</v>
      </c>
      <c r="R109" s="1" t="s">
        <v>61</v>
      </c>
      <c r="S109" s="1" t="s">
        <v>62</v>
      </c>
    </row>
    <row r="110" spans="1:19" ht="22.8">
      <c r="A110" s="1" t="s">
        <v>424</v>
      </c>
      <c r="B110" s="1" t="s">
        <v>421</v>
      </c>
      <c r="C110" s="1" t="s">
        <v>421</v>
      </c>
      <c r="D110" s="1" t="s">
        <v>421</v>
      </c>
      <c r="E110" s="1" t="s">
        <v>20</v>
      </c>
      <c r="F110" s="1" t="s">
        <v>56</v>
      </c>
      <c r="G110" s="1"/>
      <c r="H110" s="1"/>
      <c r="I110" s="1"/>
      <c r="J110" s="2"/>
      <c r="K110" s="3">
        <v>42.344461600000002</v>
      </c>
      <c r="L110" s="3">
        <v>69.643305999999995</v>
      </c>
      <c r="M110" s="1" t="s">
        <v>425</v>
      </c>
      <c r="N110" s="1"/>
      <c r="O110" s="1" t="s">
        <v>58</v>
      </c>
      <c r="P110" s="1" t="s">
        <v>59</v>
      </c>
      <c r="Q110" s="1" t="s">
        <v>60</v>
      </c>
      <c r="R110" s="1" t="s">
        <v>61</v>
      </c>
      <c r="S110" s="1" t="s">
        <v>62</v>
      </c>
    </row>
    <row r="111" spans="1:19" ht="22.8">
      <c r="A111" s="1" t="s">
        <v>426</v>
      </c>
      <c r="B111" s="1" t="s">
        <v>427</v>
      </c>
      <c r="C111" s="1" t="s">
        <v>427</v>
      </c>
      <c r="D111" s="1" t="s">
        <v>55</v>
      </c>
      <c r="E111" s="1" t="s">
        <v>20</v>
      </c>
      <c r="F111" s="1" t="s">
        <v>428</v>
      </c>
      <c r="G111" s="1"/>
      <c r="H111" s="1"/>
      <c r="I111" s="1"/>
      <c r="J111" s="2"/>
      <c r="K111" s="3">
        <v>42.332698399999998</v>
      </c>
      <c r="L111" s="3">
        <v>69.6099198</v>
      </c>
      <c r="M111" s="1" t="s">
        <v>429</v>
      </c>
      <c r="N111" s="1"/>
      <c r="O111" s="1" t="s">
        <v>58</v>
      </c>
      <c r="P111" s="1" t="s">
        <v>59</v>
      </c>
      <c r="Q111" s="1" t="s">
        <v>60</v>
      </c>
      <c r="R111" s="1" t="s">
        <v>61</v>
      </c>
      <c r="S111" s="1" t="s">
        <v>62</v>
      </c>
    </row>
    <row r="112" spans="1:19" ht="22.8">
      <c r="A112" s="1" t="s">
        <v>430</v>
      </c>
      <c r="B112" s="1" t="s">
        <v>431</v>
      </c>
      <c r="C112" s="1" t="s">
        <v>431</v>
      </c>
      <c r="D112" s="1" t="s">
        <v>55</v>
      </c>
      <c r="E112" s="1" t="s">
        <v>20</v>
      </c>
      <c r="F112" s="1" t="s">
        <v>56</v>
      </c>
      <c r="G112" s="1"/>
      <c r="H112" s="1"/>
      <c r="I112" s="1"/>
      <c r="J112" s="2"/>
      <c r="K112" s="3">
        <v>42.341336499999997</v>
      </c>
      <c r="L112" s="3">
        <v>69.644253899999995</v>
      </c>
      <c r="M112" s="1" t="s">
        <v>432</v>
      </c>
      <c r="N112" s="1"/>
      <c r="O112" s="1" t="s">
        <v>58</v>
      </c>
      <c r="P112" s="1" t="s">
        <v>59</v>
      </c>
      <c r="Q112" s="1" t="s">
        <v>60</v>
      </c>
      <c r="R112" s="1" t="s">
        <v>61</v>
      </c>
      <c r="S112" s="1" t="s">
        <v>62</v>
      </c>
    </row>
    <row r="113" spans="1:19" ht="22.8">
      <c r="A113" s="1" t="s">
        <v>433</v>
      </c>
      <c r="B113" s="1" t="s">
        <v>434</v>
      </c>
      <c r="C113" s="1" t="s">
        <v>434</v>
      </c>
      <c r="D113" s="1" t="s">
        <v>55</v>
      </c>
      <c r="E113" s="1" t="s">
        <v>20</v>
      </c>
      <c r="F113" s="1"/>
      <c r="G113" s="1"/>
      <c r="H113" s="1"/>
      <c r="I113" s="1"/>
      <c r="J113" s="2"/>
      <c r="K113" s="3">
        <v>42.381916799999999</v>
      </c>
      <c r="L113" s="3">
        <v>69.646803700000007</v>
      </c>
      <c r="M113" s="1" t="s">
        <v>435</v>
      </c>
      <c r="N113" s="1"/>
      <c r="O113" s="1" t="s">
        <v>58</v>
      </c>
      <c r="P113" s="1" t="s">
        <v>59</v>
      </c>
      <c r="Q113" s="1" t="s">
        <v>60</v>
      </c>
      <c r="R113" s="1" t="s">
        <v>61</v>
      </c>
      <c r="S113" s="1" t="s">
        <v>66</v>
      </c>
    </row>
    <row r="114" spans="1:19" ht="22.8">
      <c r="A114" s="1" t="s">
        <v>436</v>
      </c>
      <c r="B114" s="1" t="s">
        <v>437</v>
      </c>
      <c r="C114" s="1" t="s">
        <v>437</v>
      </c>
      <c r="D114" s="1" t="s">
        <v>438</v>
      </c>
      <c r="E114" s="1" t="s">
        <v>20</v>
      </c>
      <c r="F114" s="1"/>
      <c r="G114" s="1"/>
      <c r="H114" s="1"/>
      <c r="I114" s="1"/>
      <c r="J114" s="2"/>
      <c r="K114" s="3">
        <v>42.403872900000003</v>
      </c>
      <c r="L114" s="3">
        <v>69.569472700000006</v>
      </c>
      <c r="M114" s="1" t="s">
        <v>439</v>
      </c>
      <c r="N114" s="1"/>
      <c r="O114" s="1" t="s">
        <v>58</v>
      </c>
      <c r="P114" s="1" t="s">
        <v>59</v>
      </c>
      <c r="Q114" s="1" t="s">
        <v>60</v>
      </c>
      <c r="R114" s="1" t="s">
        <v>61</v>
      </c>
      <c r="S114" s="1" t="s">
        <v>66</v>
      </c>
    </row>
    <row r="115" spans="1:19" ht="22.8">
      <c r="A115" s="1" t="s">
        <v>440</v>
      </c>
      <c r="B115" s="1" t="s">
        <v>441</v>
      </c>
      <c r="C115" s="1" t="s">
        <v>441</v>
      </c>
      <c r="D115" s="1" t="s">
        <v>55</v>
      </c>
      <c r="E115" s="1" t="s">
        <v>20</v>
      </c>
      <c r="F115" s="1"/>
      <c r="G115" s="1"/>
      <c r="H115" s="1"/>
      <c r="I115" s="1"/>
      <c r="J115" s="2"/>
      <c r="K115" s="3">
        <v>42.3126672</v>
      </c>
      <c r="L115" s="3">
        <v>69.646159800000007</v>
      </c>
      <c r="M115" s="1" t="s">
        <v>442</v>
      </c>
      <c r="N115" s="1"/>
      <c r="O115" s="1" t="s">
        <v>58</v>
      </c>
      <c r="P115" s="1" t="s">
        <v>59</v>
      </c>
      <c r="Q115" s="1" t="s">
        <v>60</v>
      </c>
      <c r="R115" s="1" t="s">
        <v>61</v>
      </c>
      <c r="S115" s="1" t="s">
        <v>66</v>
      </c>
    </row>
    <row r="116" spans="1:19" ht="22.8">
      <c r="A116" s="1" t="s">
        <v>443</v>
      </c>
      <c r="B116" s="1" t="s">
        <v>444</v>
      </c>
      <c r="C116" s="1" t="s">
        <v>444</v>
      </c>
      <c r="D116" s="1" t="s">
        <v>55</v>
      </c>
      <c r="E116" s="1" t="s">
        <v>20</v>
      </c>
      <c r="F116" s="1"/>
      <c r="G116" s="1"/>
      <c r="H116" s="1"/>
      <c r="I116" s="1"/>
      <c r="J116" s="2"/>
      <c r="K116" s="3">
        <v>42.345207799999997</v>
      </c>
      <c r="L116" s="3">
        <v>69.622599199999996</v>
      </c>
      <c r="M116" s="1" t="s">
        <v>445</v>
      </c>
      <c r="N116" s="1"/>
      <c r="O116" s="1" t="s">
        <v>58</v>
      </c>
      <c r="P116" s="1" t="s">
        <v>59</v>
      </c>
      <c r="Q116" s="1" t="s">
        <v>60</v>
      </c>
      <c r="R116" s="1" t="s">
        <v>61</v>
      </c>
      <c r="S116" s="1" t="s">
        <v>66</v>
      </c>
    </row>
    <row r="117" spans="1:19" ht="22.8">
      <c r="A117" s="1" t="s">
        <v>446</v>
      </c>
      <c r="B117" s="1" t="s">
        <v>447</v>
      </c>
      <c r="C117" s="1" t="s">
        <v>447</v>
      </c>
      <c r="D117" s="1" t="s">
        <v>55</v>
      </c>
      <c r="E117" s="1" t="s">
        <v>20</v>
      </c>
      <c r="F117" s="1" t="s">
        <v>448</v>
      </c>
      <c r="G117" s="1"/>
      <c r="H117" s="1"/>
      <c r="I117" s="1"/>
      <c r="J117" s="2"/>
      <c r="K117" s="3">
        <v>42.318614500000002</v>
      </c>
      <c r="L117" s="3">
        <v>69.633187100000001</v>
      </c>
      <c r="M117" s="1" t="s">
        <v>449</v>
      </c>
      <c r="N117" s="1"/>
      <c r="O117" s="1" t="s">
        <v>58</v>
      </c>
      <c r="P117" s="1" t="s">
        <v>59</v>
      </c>
      <c r="Q117" s="1" t="s">
        <v>60</v>
      </c>
      <c r="R117" s="1" t="s">
        <v>61</v>
      </c>
      <c r="S117" s="1" t="s">
        <v>62</v>
      </c>
    </row>
    <row r="118" spans="1:19" ht="22.8">
      <c r="A118" s="1" t="s">
        <v>450</v>
      </c>
      <c r="B118" s="1" t="s">
        <v>451</v>
      </c>
      <c r="C118" s="1" t="s">
        <v>451</v>
      </c>
      <c r="D118" s="1" t="s">
        <v>55</v>
      </c>
      <c r="E118" s="1" t="s">
        <v>20</v>
      </c>
      <c r="F118" s="1"/>
      <c r="G118" s="1"/>
      <c r="H118" s="1"/>
      <c r="I118" s="1"/>
      <c r="J118" s="2"/>
      <c r="K118" s="3">
        <v>42.341899900000001</v>
      </c>
      <c r="L118" s="3">
        <v>69.648817399999999</v>
      </c>
      <c r="M118" s="1" t="s">
        <v>452</v>
      </c>
      <c r="N118" s="1"/>
      <c r="O118" s="1" t="s">
        <v>58</v>
      </c>
      <c r="P118" s="1" t="s">
        <v>59</v>
      </c>
      <c r="Q118" s="1" t="s">
        <v>60</v>
      </c>
      <c r="R118" s="1" t="s">
        <v>61</v>
      </c>
      <c r="S118" s="1" t="s">
        <v>66</v>
      </c>
    </row>
    <row r="119" spans="1:19" ht="22.8">
      <c r="A119" s="1" t="s">
        <v>453</v>
      </c>
      <c r="B119" s="1" t="s">
        <v>454</v>
      </c>
      <c r="C119" s="1" t="s">
        <v>454</v>
      </c>
      <c r="D119" s="1" t="s">
        <v>55</v>
      </c>
      <c r="E119" s="1" t="s">
        <v>20</v>
      </c>
      <c r="F119" s="1"/>
      <c r="G119" s="1"/>
      <c r="H119" s="1"/>
      <c r="I119" s="1"/>
      <c r="J119" s="2"/>
      <c r="K119" s="3">
        <v>42.309083200000003</v>
      </c>
      <c r="L119" s="3">
        <v>69.641878300000002</v>
      </c>
      <c r="M119" s="1" t="s">
        <v>455</v>
      </c>
      <c r="N119" s="1"/>
      <c r="O119" s="1" t="s">
        <v>58</v>
      </c>
      <c r="P119" s="1" t="s">
        <v>59</v>
      </c>
      <c r="Q119" s="1" t="s">
        <v>60</v>
      </c>
      <c r="R119" s="1" t="s">
        <v>61</v>
      </c>
      <c r="S119" s="1" t="s">
        <v>66</v>
      </c>
    </row>
    <row r="120" spans="1:19" ht="22.8">
      <c r="A120" s="1" t="s">
        <v>456</v>
      </c>
      <c r="B120" s="1" t="s">
        <v>457</v>
      </c>
      <c r="C120" s="1" t="s">
        <v>457</v>
      </c>
      <c r="D120" s="1" t="s">
        <v>55</v>
      </c>
      <c r="E120" s="1" t="s">
        <v>20</v>
      </c>
      <c r="F120" s="1" t="s">
        <v>97</v>
      </c>
      <c r="G120" s="1"/>
      <c r="H120" s="1"/>
      <c r="I120" s="1"/>
      <c r="J120" s="2"/>
      <c r="K120" s="3">
        <v>42.341995199999999</v>
      </c>
      <c r="L120" s="3">
        <v>69.611820899999998</v>
      </c>
      <c r="M120" s="1" t="s">
        <v>458</v>
      </c>
      <c r="N120" s="1"/>
      <c r="O120" s="1" t="s">
        <v>58</v>
      </c>
      <c r="P120" s="1" t="s">
        <v>59</v>
      </c>
      <c r="Q120" s="1" t="s">
        <v>60</v>
      </c>
      <c r="R120" s="1" t="s">
        <v>61</v>
      </c>
      <c r="S120" s="1" t="s">
        <v>62</v>
      </c>
    </row>
    <row r="121" spans="1:19" ht="22.8">
      <c r="A121" s="1" t="s">
        <v>459</v>
      </c>
      <c r="B121" s="1" t="s">
        <v>460</v>
      </c>
      <c r="C121" s="1" t="s">
        <v>460</v>
      </c>
      <c r="D121" s="1" t="s">
        <v>55</v>
      </c>
      <c r="E121" s="1" t="s">
        <v>20</v>
      </c>
      <c r="F121" s="1"/>
      <c r="G121" s="1"/>
      <c r="H121" s="1"/>
      <c r="I121" s="1"/>
      <c r="J121" s="2"/>
      <c r="K121" s="3">
        <v>42.372154299999998</v>
      </c>
      <c r="L121" s="3">
        <v>69.663311399999998</v>
      </c>
      <c r="M121" s="1" t="s">
        <v>461</v>
      </c>
      <c r="N121" s="1"/>
      <c r="O121" s="1" t="s">
        <v>58</v>
      </c>
      <c r="P121" s="1" t="s">
        <v>59</v>
      </c>
      <c r="Q121" s="1" t="s">
        <v>60</v>
      </c>
      <c r="R121" s="1" t="s">
        <v>61</v>
      </c>
      <c r="S121" s="1" t="s">
        <v>66</v>
      </c>
    </row>
    <row r="122" spans="1:19" ht="22.8">
      <c r="A122" s="1" t="s">
        <v>462</v>
      </c>
      <c r="B122" s="1" t="s">
        <v>463</v>
      </c>
      <c r="C122" s="1" t="s">
        <v>463</v>
      </c>
      <c r="D122" s="1" t="s">
        <v>55</v>
      </c>
      <c r="E122" s="1" t="s">
        <v>20</v>
      </c>
      <c r="F122" s="1"/>
      <c r="G122" s="1"/>
      <c r="H122" s="1"/>
      <c r="I122" s="1"/>
      <c r="J122" s="2"/>
      <c r="K122" s="3">
        <v>42.371648999999998</v>
      </c>
      <c r="L122" s="3">
        <v>69.659603599999997</v>
      </c>
      <c r="M122" s="1" t="s">
        <v>464</v>
      </c>
      <c r="N122" s="1"/>
      <c r="O122" s="1" t="s">
        <v>58</v>
      </c>
      <c r="P122" s="1" t="s">
        <v>59</v>
      </c>
      <c r="Q122" s="1" t="s">
        <v>60</v>
      </c>
      <c r="R122" s="1" t="s">
        <v>61</v>
      </c>
      <c r="S122" s="1" t="s">
        <v>66</v>
      </c>
    </row>
    <row r="123" spans="1:19" ht="22.8">
      <c r="A123" s="1" t="s">
        <v>465</v>
      </c>
      <c r="B123" s="1" t="s">
        <v>466</v>
      </c>
      <c r="C123" s="1" t="s">
        <v>466</v>
      </c>
      <c r="D123" s="1" t="s">
        <v>467</v>
      </c>
      <c r="E123" s="1" t="s">
        <v>20</v>
      </c>
      <c r="F123" s="1"/>
      <c r="G123" s="1"/>
      <c r="H123" s="1"/>
      <c r="I123" s="1"/>
      <c r="J123" s="2"/>
      <c r="K123" s="3">
        <v>42.338557999999999</v>
      </c>
      <c r="L123" s="3">
        <v>69.638048800000007</v>
      </c>
      <c r="M123" s="1" t="s">
        <v>468</v>
      </c>
      <c r="N123" s="1"/>
      <c r="O123" s="1" t="s">
        <v>58</v>
      </c>
      <c r="P123" s="1" t="s">
        <v>59</v>
      </c>
      <c r="Q123" s="1" t="s">
        <v>60</v>
      </c>
      <c r="R123" s="1" t="s">
        <v>61</v>
      </c>
      <c r="S123" s="1" t="s">
        <v>66</v>
      </c>
    </row>
    <row r="124" spans="1:19" ht="22.8">
      <c r="A124" s="1" t="s">
        <v>469</v>
      </c>
      <c r="B124" s="1" t="s">
        <v>470</v>
      </c>
      <c r="C124" s="1" t="s">
        <v>470</v>
      </c>
      <c r="D124" s="1" t="s">
        <v>55</v>
      </c>
      <c r="E124" s="1" t="s">
        <v>20</v>
      </c>
      <c r="F124" s="1"/>
      <c r="G124" s="1"/>
      <c r="H124" s="1"/>
      <c r="I124" s="1"/>
      <c r="J124" s="2"/>
      <c r="K124" s="3">
        <v>42.3050785</v>
      </c>
      <c r="L124" s="3">
        <v>69.6401331</v>
      </c>
      <c r="M124" s="1" t="s">
        <v>471</v>
      </c>
      <c r="N124" s="1"/>
      <c r="O124" s="1" t="s">
        <v>58</v>
      </c>
      <c r="P124" s="1" t="s">
        <v>59</v>
      </c>
      <c r="Q124" s="1" t="s">
        <v>60</v>
      </c>
      <c r="R124" s="1" t="s">
        <v>61</v>
      </c>
      <c r="S124" s="1" t="s">
        <v>66</v>
      </c>
    </row>
    <row r="125" spans="1:19" ht="22.8">
      <c r="A125" s="1" t="s">
        <v>472</v>
      </c>
      <c r="B125" s="1" t="s">
        <v>473</v>
      </c>
      <c r="C125" s="1" t="s">
        <v>473</v>
      </c>
      <c r="D125" s="1" t="s">
        <v>55</v>
      </c>
      <c r="E125" s="1" t="s">
        <v>20</v>
      </c>
      <c r="F125" s="1"/>
      <c r="G125" s="1"/>
      <c r="H125" s="1"/>
      <c r="I125" s="1"/>
      <c r="J125" s="2"/>
      <c r="K125" s="3">
        <v>42.325142100000001</v>
      </c>
      <c r="L125" s="3">
        <v>69.587283200000002</v>
      </c>
      <c r="M125" s="1" t="s">
        <v>474</v>
      </c>
      <c r="N125" s="1"/>
      <c r="O125" s="1" t="s">
        <v>58</v>
      </c>
      <c r="P125" s="1" t="s">
        <v>59</v>
      </c>
      <c r="Q125" s="1" t="s">
        <v>60</v>
      </c>
      <c r="R125" s="1" t="s">
        <v>61</v>
      </c>
      <c r="S125" s="1" t="s">
        <v>66</v>
      </c>
    </row>
    <row r="126" spans="1:19" ht="22.8">
      <c r="A126" s="1" t="s">
        <v>475</v>
      </c>
      <c r="B126" s="1" t="s">
        <v>476</v>
      </c>
      <c r="C126" s="1" t="s">
        <v>476</v>
      </c>
      <c r="D126" s="1" t="s">
        <v>55</v>
      </c>
      <c r="E126" s="1" t="s">
        <v>20</v>
      </c>
      <c r="F126" s="1" t="s">
        <v>477</v>
      </c>
      <c r="G126" s="1"/>
      <c r="H126" s="1"/>
      <c r="I126" s="1"/>
      <c r="J126" s="2"/>
      <c r="K126" s="3">
        <v>42.340508499999999</v>
      </c>
      <c r="L126" s="3">
        <v>69.649102099999993</v>
      </c>
      <c r="M126" s="1" t="s">
        <v>478</v>
      </c>
      <c r="N126" s="1"/>
      <c r="O126" s="1" t="s">
        <v>58</v>
      </c>
      <c r="P126" s="1" t="s">
        <v>59</v>
      </c>
      <c r="Q126" s="1" t="s">
        <v>60</v>
      </c>
      <c r="R126" s="1" t="s">
        <v>61</v>
      </c>
      <c r="S126" s="1" t="s">
        <v>62</v>
      </c>
    </row>
    <row r="127" spans="1:19" ht="22.8">
      <c r="A127" s="1" t="s">
        <v>479</v>
      </c>
      <c r="B127" s="1" t="s">
        <v>480</v>
      </c>
      <c r="C127" s="1" t="s">
        <v>480</v>
      </c>
      <c r="D127" s="1" t="s">
        <v>55</v>
      </c>
      <c r="E127" s="1" t="s">
        <v>20</v>
      </c>
      <c r="F127" s="1"/>
      <c r="G127" s="1"/>
      <c r="H127" s="1"/>
      <c r="I127" s="1"/>
      <c r="J127" s="2"/>
      <c r="K127" s="3">
        <v>42.241373299999999</v>
      </c>
      <c r="L127" s="3">
        <v>69.791793699999999</v>
      </c>
      <c r="M127" s="1" t="s">
        <v>481</v>
      </c>
      <c r="N127" s="1"/>
      <c r="O127" s="1" t="s">
        <v>58</v>
      </c>
      <c r="P127" s="1" t="s">
        <v>59</v>
      </c>
      <c r="Q127" s="1" t="s">
        <v>60</v>
      </c>
      <c r="R127" s="1" t="s">
        <v>61</v>
      </c>
      <c r="S127" s="1" t="s">
        <v>66</v>
      </c>
    </row>
    <row r="128" spans="1:19" ht="22.8">
      <c r="A128" s="1" t="s">
        <v>482</v>
      </c>
      <c r="B128" s="1" t="s">
        <v>483</v>
      </c>
      <c r="C128" s="1" t="s">
        <v>483</v>
      </c>
      <c r="D128" s="1" t="s">
        <v>55</v>
      </c>
      <c r="E128" s="1" t="s">
        <v>20</v>
      </c>
      <c r="F128" s="1"/>
      <c r="G128" s="1"/>
      <c r="H128" s="1"/>
      <c r="I128" s="1"/>
      <c r="J128" s="2"/>
      <c r="K128" s="3">
        <v>42.375845099999999</v>
      </c>
      <c r="L128" s="3">
        <v>69.663457300000005</v>
      </c>
      <c r="M128" s="1" t="s">
        <v>484</v>
      </c>
      <c r="N128" s="1"/>
      <c r="O128" s="1" t="s">
        <v>58</v>
      </c>
      <c r="P128" s="1" t="s">
        <v>59</v>
      </c>
      <c r="Q128" s="1" t="s">
        <v>60</v>
      </c>
      <c r="R128" s="1" t="s">
        <v>61</v>
      </c>
      <c r="S128" s="1" t="s">
        <v>66</v>
      </c>
    </row>
    <row r="129" spans="1:19" ht="22.8">
      <c r="A129" s="1" t="s">
        <v>485</v>
      </c>
      <c r="B129" s="1" t="s">
        <v>486</v>
      </c>
      <c r="C129" s="1" t="s">
        <v>486</v>
      </c>
      <c r="D129" s="1" t="s">
        <v>486</v>
      </c>
      <c r="E129" s="1" t="s">
        <v>20</v>
      </c>
      <c r="F129" s="1"/>
      <c r="G129" s="1"/>
      <c r="H129" s="1"/>
      <c r="I129" s="1"/>
      <c r="J129" s="2"/>
      <c r="K129" s="3">
        <v>42.302077300000001</v>
      </c>
      <c r="L129" s="3">
        <v>69.614195499999994</v>
      </c>
      <c r="M129" s="1" t="s">
        <v>487</v>
      </c>
      <c r="N129" s="1"/>
      <c r="O129" s="1" t="s">
        <v>58</v>
      </c>
      <c r="P129" s="1" t="s">
        <v>59</v>
      </c>
      <c r="Q129" s="1" t="s">
        <v>60</v>
      </c>
      <c r="R129" s="1" t="s">
        <v>61</v>
      </c>
      <c r="S129" s="1" t="s">
        <v>66</v>
      </c>
    </row>
    <row r="130" spans="1:19" ht="22.8">
      <c r="A130" s="1" t="s">
        <v>488</v>
      </c>
      <c r="B130" s="1" t="s">
        <v>486</v>
      </c>
      <c r="C130" s="1" t="s">
        <v>486</v>
      </c>
      <c r="D130" s="1" t="s">
        <v>486</v>
      </c>
      <c r="E130" s="1" t="s">
        <v>20</v>
      </c>
      <c r="F130" s="1"/>
      <c r="G130" s="1"/>
      <c r="H130" s="1"/>
      <c r="I130" s="1"/>
      <c r="J130" s="2"/>
      <c r="K130" s="3">
        <v>42.314655000000002</v>
      </c>
      <c r="L130" s="3">
        <v>69.580719700000003</v>
      </c>
      <c r="M130" s="1" t="s">
        <v>489</v>
      </c>
      <c r="N130" s="1"/>
      <c r="O130" s="1" t="s">
        <v>58</v>
      </c>
      <c r="P130" s="1" t="s">
        <v>59</v>
      </c>
      <c r="Q130" s="1" t="s">
        <v>60</v>
      </c>
      <c r="R130" s="1" t="s">
        <v>61</v>
      </c>
      <c r="S130" s="1" t="s">
        <v>66</v>
      </c>
    </row>
    <row r="131" spans="1:19" ht="22.8">
      <c r="A131" s="1" t="s">
        <v>490</v>
      </c>
      <c r="B131" s="1" t="s">
        <v>491</v>
      </c>
      <c r="C131" s="1" t="s">
        <v>491</v>
      </c>
      <c r="D131" s="1" t="s">
        <v>55</v>
      </c>
      <c r="E131" s="1" t="s">
        <v>20</v>
      </c>
      <c r="F131" s="1"/>
      <c r="G131" s="1"/>
      <c r="H131" s="1"/>
      <c r="I131" s="1"/>
      <c r="J131" s="2"/>
      <c r="K131" s="3">
        <v>42.303602499999997</v>
      </c>
      <c r="L131" s="3">
        <v>69.6029293</v>
      </c>
      <c r="M131" s="1" t="s">
        <v>492</v>
      </c>
      <c r="N131" s="1"/>
      <c r="O131" s="1" t="s">
        <v>58</v>
      </c>
      <c r="P131" s="1" t="s">
        <v>59</v>
      </c>
      <c r="Q131" s="1" t="s">
        <v>60</v>
      </c>
      <c r="R131" s="1" t="s">
        <v>61</v>
      </c>
      <c r="S131" s="1" t="s">
        <v>66</v>
      </c>
    </row>
    <row r="132" spans="1:19" ht="22.8">
      <c r="A132" s="1" t="s">
        <v>493</v>
      </c>
      <c r="B132" s="1" t="s">
        <v>494</v>
      </c>
      <c r="C132" s="1" t="s">
        <v>494</v>
      </c>
      <c r="D132" s="1" t="s">
        <v>55</v>
      </c>
      <c r="E132" s="1" t="s">
        <v>20</v>
      </c>
      <c r="F132" s="1" t="s">
        <v>495</v>
      </c>
      <c r="G132" s="1"/>
      <c r="H132" s="1"/>
      <c r="I132" s="1"/>
      <c r="J132" s="2"/>
      <c r="K132" s="3">
        <v>42.3363686</v>
      </c>
      <c r="L132" s="3">
        <v>69.646099800000002</v>
      </c>
      <c r="M132" s="1" t="s">
        <v>496</v>
      </c>
      <c r="N132" s="1"/>
      <c r="O132" s="1" t="s">
        <v>58</v>
      </c>
      <c r="P132" s="1" t="s">
        <v>59</v>
      </c>
      <c r="Q132" s="1" t="s">
        <v>60</v>
      </c>
      <c r="R132" s="1" t="s">
        <v>61</v>
      </c>
      <c r="S132" s="1" t="s">
        <v>62</v>
      </c>
    </row>
    <row r="133" spans="1:19" ht="22.8">
      <c r="A133" s="1" t="s">
        <v>497</v>
      </c>
      <c r="B133" s="1" t="s">
        <v>498</v>
      </c>
      <c r="C133" s="1" t="s">
        <v>498</v>
      </c>
      <c r="D133" s="1" t="s">
        <v>55</v>
      </c>
      <c r="E133" s="1" t="s">
        <v>20</v>
      </c>
      <c r="F133" s="1" t="s">
        <v>422</v>
      </c>
      <c r="G133" s="1"/>
      <c r="H133" s="1"/>
      <c r="I133" s="1"/>
      <c r="J133" s="2"/>
      <c r="K133" s="3">
        <v>42.218001899999997</v>
      </c>
      <c r="L133" s="3">
        <v>69.803672199999994</v>
      </c>
      <c r="M133" s="1" t="s">
        <v>499</v>
      </c>
      <c r="N133" s="1"/>
      <c r="O133" s="1" t="s">
        <v>58</v>
      </c>
      <c r="P133" s="1" t="s">
        <v>59</v>
      </c>
      <c r="Q133" s="1" t="s">
        <v>60</v>
      </c>
      <c r="R133" s="1" t="s">
        <v>61</v>
      </c>
      <c r="S133" s="1" t="s">
        <v>62</v>
      </c>
    </row>
    <row r="134" spans="1:19" ht="22.8">
      <c r="A134" s="1" t="s">
        <v>500</v>
      </c>
      <c r="B134" s="1" t="s">
        <v>501</v>
      </c>
      <c r="C134" s="1" t="s">
        <v>501</v>
      </c>
      <c r="D134" s="1" t="s">
        <v>55</v>
      </c>
      <c r="E134" s="1" t="s">
        <v>20</v>
      </c>
      <c r="F134" s="1" t="s">
        <v>56</v>
      </c>
      <c r="G134" s="1"/>
      <c r="H134" s="1"/>
      <c r="I134" s="1"/>
      <c r="J134" s="2"/>
      <c r="K134" s="3">
        <v>42.343602699999998</v>
      </c>
      <c r="L134" s="3">
        <v>69.640425899999997</v>
      </c>
      <c r="M134" s="1" t="s">
        <v>502</v>
      </c>
      <c r="N134" s="1"/>
      <c r="O134" s="1" t="s">
        <v>58</v>
      </c>
      <c r="P134" s="1" t="s">
        <v>59</v>
      </c>
      <c r="Q134" s="1" t="s">
        <v>60</v>
      </c>
      <c r="R134" s="1" t="s">
        <v>61</v>
      </c>
      <c r="S134" s="1" t="s">
        <v>62</v>
      </c>
    </row>
    <row r="135" spans="1:19" ht="22.8">
      <c r="A135" s="1" t="s">
        <v>503</v>
      </c>
      <c r="B135" s="1" t="s">
        <v>504</v>
      </c>
      <c r="C135" s="1" t="s">
        <v>504</v>
      </c>
      <c r="D135" s="1" t="s">
        <v>55</v>
      </c>
      <c r="E135" s="1" t="s">
        <v>20</v>
      </c>
      <c r="F135" s="1"/>
      <c r="G135" s="1"/>
      <c r="H135" s="1"/>
      <c r="I135" s="1"/>
      <c r="J135" s="2"/>
      <c r="K135" s="3">
        <v>42.341638699999997</v>
      </c>
      <c r="L135" s="3">
        <v>69.648637699999995</v>
      </c>
      <c r="M135" s="1" t="s">
        <v>505</v>
      </c>
      <c r="N135" s="1"/>
      <c r="O135" s="1" t="s">
        <v>58</v>
      </c>
      <c r="P135" s="1" t="s">
        <v>59</v>
      </c>
      <c r="Q135" s="1" t="s">
        <v>60</v>
      </c>
      <c r="R135" s="1" t="s">
        <v>61</v>
      </c>
      <c r="S135" s="1" t="s">
        <v>66</v>
      </c>
    </row>
    <row r="136" spans="1:19" ht="22.8">
      <c r="A136" s="1" t="s">
        <v>506</v>
      </c>
      <c r="B136" s="1" t="s">
        <v>507</v>
      </c>
      <c r="C136" s="1" t="s">
        <v>507</v>
      </c>
      <c r="D136" s="1" t="s">
        <v>55</v>
      </c>
      <c r="E136" s="1" t="s">
        <v>20</v>
      </c>
      <c r="F136" s="1" t="s">
        <v>508</v>
      </c>
      <c r="G136" s="1"/>
      <c r="H136" s="1"/>
      <c r="I136" s="1"/>
      <c r="J136" s="2"/>
      <c r="K136" s="3">
        <v>42.344597100000001</v>
      </c>
      <c r="L136" s="3">
        <v>69.613405700000001</v>
      </c>
      <c r="M136" s="1" t="s">
        <v>509</v>
      </c>
      <c r="N136" s="1"/>
      <c r="O136" s="1" t="s">
        <v>58</v>
      </c>
      <c r="P136" s="1" t="s">
        <v>59</v>
      </c>
      <c r="Q136" s="1" t="s">
        <v>60</v>
      </c>
      <c r="R136" s="1" t="s">
        <v>61</v>
      </c>
      <c r="S136" s="1" t="s">
        <v>62</v>
      </c>
    </row>
    <row r="137" spans="1:19" ht="22.8">
      <c r="A137" s="1" t="s">
        <v>510</v>
      </c>
      <c r="B137" s="1" t="s">
        <v>511</v>
      </c>
      <c r="C137" s="1" t="s">
        <v>511</v>
      </c>
      <c r="D137" s="1" t="s">
        <v>55</v>
      </c>
      <c r="E137" s="1" t="s">
        <v>20</v>
      </c>
      <c r="F137" s="1" t="s">
        <v>512</v>
      </c>
      <c r="G137" s="1"/>
      <c r="H137" s="1"/>
      <c r="I137" s="1"/>
      <c r="J137" s="2"/>
      <c r="K137" s="3">
        <v>42.431730799999997</v>
      </c>
      <c r="L137" s="3">
        <v>69.553206299999999</v>
      </c>
      <c r="M137" s="1" t="s">
        <v>513</v>
      </c>
      <c r="N137" s="1"/>
      <c r="O137" s="1" t="s">
        <v>58</v>
      </c>
      <c r="P137" s="1" t="s">
        <v>59</v>
      </c>
      <c r="Q137" s="1" t="s">
        <v>60</v>
      </c>
      <c r="R137" s="1" t="s">
        <v>61</v>
      </c>
      <c r="S137" s="1" t="s">
        <v>62</v>
      </c>
    </row>
    <row r="138" spans="1:19" ht="22.8">
      <c r="A138" s="1" t="s">
        <v>514</v>
      </c>
      <c r="B138" s="1" t="s">
        <v>515</v>
      </c>
      <c r="C138" s="1" t="s">
        <v>515</v>
      </c>
      <c r="D138" s="1" t="s">
        <v>515</v>
      </c>
      <c r="E138" s="1" t="s">
        <v>20</v>
      </c>
      <c r="F138" s="1" t="s">
        <v>157</v>
      </c>
      <c r="G138" s="1"/>
      <c r="H138" s="1"/>
      <c r="I138" s="1"/>
      <c r="J138" s="2"/>
      <c r="K138" s="3">
        <v>42.394036100000001</v>
      </c>
      <c r="L138" s="3">
        <v>69.591225699999995</v>
      </c>
      <c r="M138" s="1" t="s">
        <v>516</v>
      </c>
      <c r="N138" s="1"/>
      <c r="O138" s="1" t="s">
        <v>58</v>
      </c>
      <c r="P138" s="1" t="s">
        <v>59</v>
      </c>
      <c r="Q138" s="1" t="s">
        <v>60</v>
      </c>
      <c r="R138" s="1" t="s">
        <v>61</v>
      </c>
      <c r="S138" s="1" t="s">
        <v>62</v>
      </c>
    </row>
    <row r="139" spans="1:19" ht="22.8">
      <c r="A139" s="1" t="s">
        <v>517</v>
      </c>
      <c r="B139" s="1" t="s">
        <v>518</v>
      </c>
      <c r="C139" s="1" t="s">
        <v>518</v>
      </c>
      <c r="D139" s="1" t="s">
        <v>55</v>
      </c>
      <c r="E139" s="1" t="s">
        <v>20</v>
      </c>
      <c r="F139" s="1"/>
      <c r="G139" s="1"/>
      <c r="H139" s="1"/>
      <c r="I139" s="1"/>
      <c r="J139" s="2"/>
      <c r="K139" s="3">
        <v>42.312360200000001</v>
      </c>
      <c r="L139" s="3">
        <v>69.583503800000003</v>
      </c>
      <c r="M139" s="1" t="s">
        <v>519</v>
      </c>
      <c r="N139" s="1"/>
      <c r="O139" s="1" t="s">
        <v>58</v>
      </c>
      <c r="P139" s="1" t="s">
        <v>59</v>
      </c>
      <c r="Q139" s="1" t="s">
        <v>60</v>
      </c>
      <c r="R139" s="1" t="s">
        <v>61</v>
      </c>
      <c r="S139" s="1" t="s">
        <v>66</v>
      </c>
    </row>
    <row r="140" spans="1:19" ht="22.8">
      <c r="A140" s="1" t="s">
        <v>520</v>
      </c>
      <c r="B140" s="1" t="s">
        <v>521</v>
      </c>
      <c r="C140" s="1" t="s">
        <v>521</v>
      </c>
      <c r="D140" s="1" t="s">
        <v>55</v>
      </c>
      <c r="E140" s="1" t="s">
        <v>20</v>
      </c>
      <c r="F140" s="1" t="s">
        <v>97</v>
      </c>
      <c r="G140" s="1"/>
      <c r="H140" s="1"/>
      <c r="I140" s="1"/>
      <c r="J140" s="2"/>
      <c r="K140" s="3">
        <v>42.331327999999999</v>
      </c>
      <c r="L140" s="3">
        <v>69.607266499999994</v>
      </c>
      <c r="M140" s="1" t="s">
        <v>522</v>
      </c>
      <c r="N140" s="1"/>
      <c r="O140" s="1" t="s">
        <v>58</v>
      </c>
      <c r="P140" s="1" t="s">
        <v>59</v>
      </c>
      <c r="Q140" s="1" t="s">
        <v>60</v>
      </c>
      <c r="R140" s="1" t="s">
        <v>61</v>
      </c>
      <c r="S140" s="1" t="s">
        <v>62</v>
      </c>
    </row>
    <row r="141" spans="1:19" ht="22.8">
      <c r="A141" s="1" t="s">
        <v>523</v>
      </c>
      <c r="B141" s="1" t="s">
        <v>524</v>
      </c>
      <c r="C141" s="1" t="s">
        <v>524</v>
      </c>
      <c r="D141" s="1" t="s">
        <v>55</v>
      </c>
      <c r="E141" s="1" t="s">
        <v>20</v>
      </c>
      <c r="F141" s="1" t="s">
        <v>233</v>
      </c>
      <c r="G141" s="1"/>
      <c r="H141" s="1"/>
      <c r="I141" s="1"/>
      <c r="J141" s="2"/>
      <c r="K141" s="3">
        <v>42.334717699999999</v>
      </c>
      <c r="L141" s="3">
        <v>69.648357300000001</v>
      </c>
      <c r="M141" s="1" t="s">
        <v>525</v>
      </c>
      <c r="N141" s="1"/>
      <c r="O141" s="1" t="s">
        <v>58</v>
      </c>
      <c r="P141" s="1" t="s">
        <v>59</v>
      </c>
      <c r="Q141" s="1" t="s">
        <v>60</v>
      </c>
      <c r="R141" s="1" t="s">
        <v>61</v>
      </c>
      <c r="S141" s="1" t="s">
        <v>62</v>
      </c>
    </row>
    <row r="142" spans="1:19" ht="22.8">
      <c r="A142" s="1" t="s">
        <v>526</v>
      </c>
      <c r="B142" s="1" t="s">
        <v>527</v>
      </c>
      <c r="C142" s="1" t="s">
        <v>527</v>
      </c>
      <c r="D142" s="1" t="s">
        <v>55</v>
      </c>
      <c r="E142" s="1" t="s">
        <v>20</v>
      </c>
      <c r="F142" s="1"/>
      <c r="G142" s="1"/>
      <c r="H142" s="1"/>
      <c r="I142" s="1"/>
      <c r="J142" s="2"/>
      <c r="K142" s="3">
        <v>42.3384912</v>
      </c>
      <c r="L142" s="3">
        <v>69.648890100000003</v>
      </c>
      <c r="M142" s="1" t="s">
        <v>528</v>
      </c>
      <c r="N142" s="1"/>
      <c r="O142" s="1" t="s">
        <v>58</v>
      </c>
      <c r="P142" s="1" t="s">
        <v>59</v>
      </c>
      <c r="Q142" s="1" t="s">
        <v>60</v>
      </c>
      <c r="R142" s="1" t="s">
        <v>61</v>
      </c>
      <c r="S142" s="1" t="s">
        <v>66</v>
      </c>
    </row>
    <row r="143" spans="1:19" ht="22.8">
      <c r="A143" s="1" t="s">
        <v>529</v>
      </c>
      <c r="B143" s="1" t="s">
        <v>530</v>
      </c>
      <c r="C143" s="1" t="s">
        <v>530</v>
      </c>
      <c r="D143" s="1" t="s">
        <v>55</v>
      </c>
      <c r="E143" s="1" t="s">
        <v>20</v>
      </c>
      <c r="F143" s="1"/>
      <c r="G143" s="1"/>
      <c r="H143" s="1"/>
      <c r="I143" s="1"/>
      <c r="J143" s="2"/>
      <c r="K143" s="3">
        <v>42.324509399999997</v>
      </c>
      <c r="L143" s="3">
        <v>69.636073400000001</v>
      </c>
      <c r="M143" s="1" t="s">
        <v>531</v>
      </c>
      <c r="N143" s="1"/>
      <c r="O143" s="1" t="s">
        <v>58</v>
      </c>
      <c r="P143" s="1" t="s">
        <v>59</v>
      </c>
      <c r="Q143" s="1" t="s">
        <v>60</v>
      </c>
      <c r="R143" s="1" t="s">
        <v>61</v>
      </c>
      <c r="S143" s="1" t="s">
        <v>66</v>
      </c>
    </row>
    <row r="144" spans="1:19" ht="22.8">
      <c r="A144" s="1" t="s">
        <v>532</v>
      </c>
      <c r="B144" s="1" t="s">
        <v>533</v>
      </c>
      <c r="C144" s="1" t="s">
        <v>533</v>
      </c>
      <c r="D144" s="1" t="s">
        <v>55</v>
      </c>
      <c r="E144" s="1" t="s">
        <v>20</v>
      </c>
      <c r="F144" s="1" t="s">
        <v>534</v>
      </c>
      <c r="G144" s="1"/>
      <c r="H144" s="1"/>
      <c r="I144" s="1"/>
      <c r="J144" s="2"/>
      <c r="K144" s="3">
        <v>42.356983499999998</v>
      </c>
      <c r="L144" s="3">
        <v>69.5855423</v>
      </c>
      <c r="M144" s="1" t="s">
        <v>535</v>
      </c>
      <c r="N144" s="1"/>
      <c r="O144" s="1" t="s">
        <v>58</v>
      </c>
      <c r="P144" s="1" t="s">
        <v>59</v>
      </c>
      <c r="Q144" s="1" t="s">
        <v>60</v>
      </c>
      <c r="R144" s="1" t="s">
        <v>61</v>
      </c>
      <c r="S144" s="1" t="s">
        <v>62</v>
      </c>
    </row>
    <row r="145" spans="1:19" ht="22.8">
      <c r="A145" s="1" t="s">
        <v>536</v>
      </c>
      <c r="B145" s="1" t="s">
        <v>537</v>
      </c>
      <c r="C145" s="1" t="s">
        <v>537</v>
      </c>
      <c r="D145" s="1" t="s">
        <v>55</v>
      </c>
      <c r="E145" s="1" t="s">
        <v>20</v>
      </c>
      <c r="F145" s="1" t="s">
        <v>422</v>
      </c>
      <c r="G145" s="1"/>
      <c r="H145" s="1"/>
      <c r="I145" s="1"/>
      <c r="J145" s="2"/>
      <c r="K145" s="3">
        <v>42.220573899999998</v>
      </c>
      <c r="L145" s="3">
        <v>69.802855399999999</v>
      </c>
      <c r="M145" s="1" t="s">
        <v>538</v>
      </c>
      <c r="N145" s="1"/>
      <c r="O145" s="1" t="s">
        <v>58</v>
      </c>
      <c r="P145" s="1" t="s">
        <v>59</v>
      </c>
      <c r="Q145" s="1" t="s">
        <v>60</v>
      </c>
      <c r="R145" s="1" t="s">
        <v>61</v>
      </c>
      <c r="S145" s="1" t="s">
        <v>62</v>
      </c>
    </row>
    <row r="146" spans="1:19" ht="22.8">
      <c r="A146" s="1" t="s">
        <v>539</v>
      </c>
      <c r="B146" s="1" t="s">
        <v>540</v>
      </c>
      <c r="C146" s="1" t="s">
        <v>540</v>
      </c>
      <c r="D146" s="1" t="s">
        <v>541</v>
      </c>
      <c r="E146" s="1" t="s">
        <v>20</v>
      </c>
      <c r="F146" s="1" t="s">
        <v>542</v>
      </c>
      <c r="G146" s="1"/>
      <c r="H146" s="1"/>
      <c r="I146" s="1"/>
      <c r="J146" s="2"/>
      <c r="K146" s="3">
        <v>42.340945599999998</v>
      </c>
      <c r="L146" s="3">
        <v>69.580502300000006</v>
      </c>
      <c r="M146" s="1" t="s">
        <v>543</v>
      </c>
      <c r="N146" s="1"/>
      <c r="O146" s="1" t="s">
        <v>58</v>
      </c>
      <c r="P146" s="1" t="s">
        <v>59</v>
      </c>
      <c r="Q146" s="1" t="s">
        <v>60</v>
      </c>
      <c r="R146" s="1" t="s">
        <v>61</v>
      </c>
      <c r="S146" s="1" t="s">
        <v>62</v>
      </c>
    </row>
    <row r="147" spans="1:19" ht="22.8">
      <c r="A147" s="1" t="s">
        <v>544</v>
      </c>
      <c r="B147" s="1" t="s">
        <v>540</v>
      </c>
      <c r="C147" s="1" t="s">
        <v>540</v>
      </c>
      <c r="D147" s="1" t="s">
        <v>541</v>
      </c>
      <c r="E147" s="1" t="s">
        <v>20</v>
      </c>
      <c r="F147" s="1"/>
      <c r="G147" s="1"/>
      <c r="H147" s="1"/>
      <c r="I147" s="1"/>
      <c r="J147" s="2"/>
      <c r="K147" s="3">
        <v>42.360475299999997</v>
      </c>
      <c r="L147" s="3">
        <v>69.626826600000001</v>
      </c>
      <c r="M147" s="1" t="s">
        <v>545</v>
      </c>
      <c r="N147" s="1"/>
      <c r="O147" s="1" t="s">
        <v>58</v>
      </c>
      <c r="P147" s="1" t="s">
        <v>59</v>
      </c>
      <c r="Q147" s="1" t="s">
        <v>60</v>
      </c>
      <c r="R147" s="1" t="s">
        <v>61</v>
      </c>
      <c r="S147" s="1" t="s">
        <v>66</v>
      </c>
    </row>
    <row r="148" spans="1:19" ht="22.8">
      <c r="A148" s="1" t="s">
        <v>546</v>
      </c>
      <c r="B148" s="1" t="s">
        <v>540</v>
      </c>
      <c r="C148" s="1" t="s">
        <v>540</v>
      </c>
      <c r="D148" s="1" t="s">
        <v>541</v>
      </c>
      <c r="E148" s="1" t="s">
        <v>20</v>
      </c>
      <c r="F148" s="1" t="s">
        <v>308</v>
      </c>
      <c r="G148" s="1"/>
      <c r="H148" s="1"/>
      <c r="I148" s="1"/>
      <c r="J148" s="2"/>
      <c r="K148" s="3">
        <v>42.361886800000001</v>
      </c>
      <c r="L148" s="3">
        <v>69.631808199999995</v>
      </c>
      <c r="M148" s="1" t="s">
        <v>547</v>
      </c>
      <c r="N148" s="1"/>
      <c r="O148" s="1" t="s">
        <v>58</v>
      </c>
      <c r="P148" s="1" t="s">
        <v>59</v>
      </c>
      <c r="Q148" s="1" t="s">
        <v>60</v>
      </c>
      <c r="R148" s="1" t="s">
        <v>61</v>
      </c>
      <c r="S148" s="1" t="s">
        <v>62</v>
      </c>
    </row>
    <row r="149" spans="1:19" ht="22.8">
      <c r="A149" s="1" t="s">
        <v>548</v>
      </c>
      <c r="B149" s="1" t="s">
        <v>549</v>
      </c>
      <c r="C149" s="1" t="s">
        <v>549</v>
      </c>
      <c r="D149" s="1" t="s">
        <v>55</v>
      </c>
      <c r="E149" s="1" t="s">
        <v>20</v>
      </c>
      <c r="F149" s="1" t="s">
        <v>550</v>
      </c>
      <c r="G149" s="1"/>
      <c r="H149" s="1"/>
      <c r="I149" s="1"/>
      <c r="J149" s="2"/>
      <c r="K149" s="3">
        <v>42.318746300000001</v>
      </c>
      <c r="L149" s="3">
        <v>69.625566300000003</v>
      </c>
      <c r="M149" s="1" t="s">
        <v>551</v>
      </c>
      <c r="N149" s="1"/>
      <c r="O149" s="1" t="s">
        <v>58</v>
      </c>
      <c r="P149" s="1" t="s">
        <v>59</v>
      </c>
      <c r="Q149" s="1" t="s">
        <v>60</v>
      </c>
      <c r="R149" s="1" t="s">
        <v>61</v>
      </c>
      <c r="S149" s="1" t="s">
        <v>62</v>
      </c>
    </row>
    <row r="150" spans="1:19" ht="22.8">
      <c r="A150" s="1" t="s">
        <v>552</v>
      </c>
      <c r="B150" s="1" t="s">
        <v>553</v>
      </c>
      <c r="C150" s="1" t="s">
        <v>553</v>
      </c>
      <c r="D150" s="1" t="s">
        <v>55</v>
      </c>
      <c r="E150" s="1" t="s">
        <v>20</v>
      </c>
      <c r="F150" s="1"/>
      <c r="G150" s="1"/>
      <c r="H150" s="1"/>
      <c r="I150" s="1"/>
      <c r="J150" s="2"/>
      <c r="K150" s="3">
        <v>42.388347699999997</v>
      </c>
      <c r="L150" s="3">
        <v>69.579093999999998</v>
      </c>
      <c r="M150" s="1" t="s">
        <v>554</v>
      </c>
      <c r="N150" s="1"/>
      <c r="O150" s="1" t="s">
        <v>58</v>
      </c>
      <c r="P150" s="1" t="s">
        <v>59</v>
      </c>
      <c r="Q150" s="1" t="s">
        <v>60</v>
      </c>
      <c r="R150" s="1" t="s">
        <v>61</v>
      </c>
      <c r="S150" s="1" t="s">
        <v>66</v>
      </c>
    </row>
    <row r="151" spans="1:19" ht="22.8">
      <c r="A151" s="1" t="s">
        <v>555</v>
      </c>
      <c r="B151" s="1" t="s">
        <v>556</v>
      </c>
      <c r="C151" s="1" t="s">
        <v>556</v>
      </c>
      <c r="D151" s="1" t="s">
        <v>556</v>
      </c>
      <c r="E151" s="1" t="s">
        <v>20</v>
      </c>
      <c r="F151" s="1"/>
      <c r="G151" s="1"/>
      <c r="H151" s="1"/>
      <c r="I151" s="1"/>
      <c r="J151" s="2"/>
      <c r="K151" s="3">
        <v>42.319035599999999</v>
      </c>
      <c r="L151" s="3">
        <v>69.646112299999999</v>
      </c>
      <c r="M151" s="1" t="s">
        <v>557</v>
      </c>
      <c r="N151" s="1"/>
      <c r="O151" s="1" t="s">
        <v>58</v>
      </c>
      <c r="P151" s="1" t="s">
        <v>59</v>
      </c>
      <c r="Q151" s="1" t="s">
        <v>60</v>
      </c>
      <c r="R151" s="1" t="s">
        <v>61</v>
      </c>
      <c r="S151" s="1" t="s">
        <v>66</v>
      </c>
    </row>
    <row r="152" spans="1:19" ht="22.8">
      <c r="A152" s="1" t="s">
        <v>558</v>
      </c>
      <c r="B152" s="1" t="s">
        <v>559</v>
      </c>
      <c r="C152" s="1" t="s">
        <v>559</v>
      </c>
      <c r="D152" s="1" t="s">
        <v>55</v>
      </c>
      <c r="E152" s="1" t="s">
        <v>20</v>
      </c>
      <c r="F152" s="1" t="s">
        <v>560</v>
      </c>
      <c r="G152" s="1"/>
      <c r="H152" s="1"/>
      <c r="I152" s="1"/>
      <c r="J152" s="2"/>
      <c r="K152" s="3">
        <v>42.336398600000003</v>
      </c>
      <c r="L152" s="3">
        <v>69.647655499999999</v>
      </c>
      <c r="M152" s="1" t="s">
        <v>561</v>
      </c>
      <c r="N152" s="1"/>
      <c r="O152" s="1" t="s">
        <v>58</v>
      </c>
      <c r="P152" s="1" t="s">
        <v>59</v>
      </c>
      <c r="Q152" s="1" t="s">
        <v>60</v>
      </c>
      <c r="R152" s="1" t="s">
        <v>61</v>
      </c>
      <c r="S152" s="1" t="s">
        <v>62</v>
      </c>
    </row>
    <row r="153" spans="1:19" ht="22.8">
      <c r="A153" s="1" t="s">
        <v>562</v>
      </c>
      <c r="B153" s="1" t="s">
        <v>563</v>
      </c>
      <c r="C153" s="1" t="s">
        <v>563</v>
      </c>
      <c r="D153" s="1" t="s">
        <v>55</v>
      </c>
      <c r="E153" s="1" t="s">
        <v>20</v>
      </c>
      <c r="F153" s="1" t="s">
        <v>564</v>
      </c>
      <c r="G153" s="1"/>
      <c r="H153" s="1"/>
      <c r="I153" s="1"/>
      <c r="J153" s="2"/>
      <c r="K153" s="3">
        <v>42.293088900000001</v>
      </c>
      <c r="L153" s="3">
        <v>69.597206400000005</v>
      </c>
      <c r="M153" s="1" t="s">
        <v>565</v>
      </c>
      <c r="N153" s="1"/>
      <c r="O153" s="1" t="s">
        <v>58</v>
      </c>
      <c r="P153" s="1" t="s">
        <v>59</v>
      </c>
      <c r="Q153" s="1" t="s">
        <v>60</v>
      </c>
      <c r="R153" s="1" t="s">
        <v>61</v>
      </c>
      <c r="S153" s="1" t="s">
        <v>62</v>
      </c>
    </row>
    <row r="154" spans="1:19" ht="22.8">
      <c r="A154" s="1" t="s">
        <v>566</v>
      </c>
      <c r="B154" s="1" t="s">
        <v>567</v>
      </c>
      <c r="C154" s="1" t="s">
        <v>567</v>
      </c>
      <c r="D154" s="1" t="s">
        <v>55</v>
      </c>
      <c r="E154" s="1" t="s">
        <v>20</v>
      </c>
      <c r="F154" s="1" t="s">
        <v>568</v>
      </c>
      <c r="G154" s="1"/>
      <c r="H154" s="1"/>
      <c r="I154" s="1"/>
      <c r="J154" s="2"/>
      <c r="K154" s="3">
        <v>42.296757499999998</v>
      </c>
      <c r="L154" s="3">
        <v>69.606068100000002</v>
      </c>
      <c r="M154" s="1" t="s">
        <v>569</v>
      </c>
      <c r="N154" s="1" t="s">
        <v>570</v>
      </c>
      <c r="O154" s="1" t="s">
        <v>58</v>
      </c>
      <c r="P154" s="1" t="s">
        <v>59</v>
      </c>
      <c r="Q154" s="1" t="s">
        <v>60</v>
      </c>
      <c r="R154" s="1" t="s">
        <v>61</v>
      </c>
      <c r="S154" s="1" t="s">
        <v>62</v>
      </c>
    </row>
    <row r="155" spans="1:19" ht="22.8">
      <c r="A155" s="1" t="s">
        <v>571</v>
      </c>
      <c r="B155" s="1" t="s">
        <v>572</v>
      </c>
      <c r="C155" s="1" t="s">
        <v>572</v>
      </c>
      <c r="D155" s="1" t="s">
        <v>572</v>
      </c>
      <c r="E155" s="1" t="s">
        <v>20</v>
      </c>
      <c r="F155" s="1" t="s">
        <v>573</v>
      </c>
      <c r="G155" s="1"/>
      <c r="H155" s="1"/>
      <c r="I155" s="1"/>
      <c r="J155" s="2"/>
      <c r="K155" s="3">
        <v>42.311948899999997</v>
      </c>
      <c r="L155" s="3">
        <v>69.561798800000005</v>
      </c>
      <c r="M155" s="1" t="s">
        <v>574</v>
      </c>
      <c r="N155" s="1"/>
      <c r="O155" s="1" t="s">
        <v>58</v>
      </c>
      <c r="P155" s="1" t="s">
        <v>59</v>
      </c>
      <c r="Q155" s="1" t="s">
        <v>60</v>
      </c>
      <c r="R155" s="1" t="s">
        <v>61</v>
      </c>
      <c r="S155" s="1" t="s">
        <v>62</v>
      </c>
    </row>
    <row r="156" spans="1:19" ht="22.8">
      <c r="A156" s="1" t="s">
        <v>575</v>
      </c>
      <c r="B156" s="1" t="s">
        <v>576</v>
      </c>
      <c r="C156" s="1" t="s">
        <v>576</v>
      </c>
      <c r="D156" s="1" t="s">
        <v>55</v>
      </c>
      <c r="E156" s="1" t="s">
        <v>20</v>
      </c>
      <c r="F156" s="1"/>
      <c r="G156" s="1"/>
      <c r="H156" s="1"/>
      <c r="I156" s="1"/>
      <c r="J156" s="2"/>
      <c r="K156" s="3">
        <v>42.401852300000002</v>
      </c>
      <c r="L156" s="3">
        <v>69.563048699999996</v>
      </c>
      <c r="M156" s="1" t="s">
        <v>577</v>
      </c>
      <c r="N156" s="1"/>
      <c r="O156" s="1" t="s">
        <v>58</v>
      </c>
      <c r="P156" s="1" t="s">
        <v>59</v>
      </c>
      <c r="Q156" s="1" t="s">
        <v>60</v>
      </c>
      <c r="R156" s="1" t="s">
        <v>61</v>
      </c>
      <c r="S156" s="1" t="s">
        <v>66</v>
      </c>
    </row>
    <row r="157" spans="1:19" ht="22.8">
      <c r="A157" s="1" t="s">
        <v>578</v>
      </c>
      <c r="B157" s="1" t="s">
        <v>579</v>
      </c>
      <c r="C157" s="1" t="s">
        <v>579</v>
      </c>
      <c r="D157" s="1" t="s">
        <v>55</v>
      </c>
      <c r="E157" s="1" t="s">
        <v>20</v>
      </c>
      <c r="F157" s="1"/>
      <c r="G157" s="1"/>
      <c r="H157" s="1"/>
      <c r="I157" s="1"/>
      <c r="J157" s="2"/>
      <c r="K157" s="3">
        <v>42.291379599999999</v>
      </c>
      <c r="L157" s="3">
        <v>69.621749600000001</v>
      </c>
      <c r="M157" s="1" t="s">
        <v>580</v>
      </c>
      <c r="N157" s="1"/>
      <c r="O157" s="1" t="s">
        <v>58</v>
      </c>
      <c r="P157" s="1" t="s">
        <v>59</v>
      </c>
      <c r="Q157" s="1" t="s">
        <v>60</v>
      </c>
      <c r="R157" s="1" t="s">
        <v>61</v>
      </c>
      <c r="S157" s="1" t="s">
        <v>66</v>
      </c>
    </row>
    <row r="158" spans="1:19" ht="22.8">
      <c r="A158" s="1" t="s">
        <v>581</v>
      </c>
      <c r="B158" s="1" t="s">
        <v>582</v>
      </c>
      <c r="C158" s="1" t="s">
        <v>582</v>
      </c>
      <c r="D158" s="1" t="s">
        <v>582</v>
      </c>
      <c r="E158" s="1" t="s">
        <v>20</v>
      </c>
      <c r="F158" s="1"/>
      <c r="G158" s="1"/>
      <c r="H158" s="1"/>
      <c r="I158" s="1"/>
      <c r="J158" s="2"/>
      <c r="K158" s="3">
        <v>42.310310600000001</v>
      </c>
      <c r="L158" s="3">
        <v>69.629263300000005</v>
      </c>
      <c r="M158" s="1" t="s">
        <v>583</v>
      </c>
      <c r="N158" s="1"/>
      <c r="O158" s="1" t="s">
        <v>58</v>
      </c>
      <c r="P158" s="1" t="s">
        <v>59</v>
      </c>
      <c r="Q158" s="1" t="s">
        <v>60</v>
      </c>
      <c r="R158" s="1" t="s">
        <v>61</v>
      </c>
      <c r="S158" s="1" t="s">
        <v>66</v>
      </c>
    </row>
    <row r="159" spans="1:19" ht="22.8">
      <c r="A159" s="1" t="s">
        <v>584</v>
      </c>
      <c r="B159" s="1" t="s">
        <v>582</v>
      </c>
      <c r="C159" s="1" t="s">
        <v>582</v>
      </c>
      <c r="D159" s="1" t="s">
        <v>582</v>
      </c>
      <c r="E159" s="1" t="s">
        <v>20</v>
      </c>
      <c r="F159" s="1" t="s">
        <v>233</v>
      </c>
      <c r="G159" s="1"/>
      <c r="H159" s="1"/>
      <c r="I159" s="1"/>
      <c r="J159" s="2"/>
      <c r="K159" s="3">
        <v>42.338977399999997</v>
      </c>
      <c r="L159" s="3">
        <v>69.646570299999993</v>
      </c>
      <c r="M159" s="1" t="s">
        <v>585</v>
      </c>
      <c r="N159" s="1"/>
      <c r="O159" s="1" t="s">
        <v>58</v>
      </c>
      <c r="P159" s="1" t="s">
        <v>59</v>
      </c>
      <c r="Q159" s="1" t="s">
        <v>60</v>
      </c>
      <c r="R159" s="1" t="s">
        <v>61</v>
      </c>
      <c r="S159" s="1" t="s">
        <v>62</v>
      </c>
    </row>
    <row r="160" spans="1:19" ht="22.8">
      <c r="A160" s="1" t="s">
        <v>586</v>
      </c>
      <c r="B160" s="1" t="s">
        <v>587</v>
      </c>
      <c r="C160" s="1" t="s">
        <v>587</v>
      </c>
      <c r="D160" s="1" t="s">
        <v>587</v>
      </c>
      <c r="E160" s="1" t="s">
        <v>20</v>
      </c>
      <c r="F160" s="1" t="s">
        <v>588</v>
      </c>
      <c r="G160" s="1"/>
      <c r="H160" s="1"/>
      <c r="I160" s="1"/>
      <c r="J160" s="2"/>
      <c r="K160" s="3">
        <v>42.337743799999998</v>
      </c>
      <c r="L160" s="3">
        <v>69.642433100000005</v>
      </c>
      <c r="M160" s="1" t="s">
        <v>589</v>
      </c>
      <c r="N160" s="1"/>
      <c r="O160" s="1" t="s">
        <v>58</v>
      </c>
      <c r="P160" s="1" t="s">
        <v>59</v>
      </c>
      <c r="Q160" s="1" t="s">
        <v>60</v>
      </c>
      <c r="R160" s="1" t="s">
        <v>61</v>
      </c>
      <c r="S160" s="1" t="s">
        <v>62</v>
      </c>
    </row>
    <row r="161" spans="1:19" ht="22.8">
      <c r="A161" s="1" t="s">
        <v>590</v>
      </c>
      <c r="B161" s="1" t="s">
        <v>591</v>
      </c>
      <c r="C161" s="1" t="s">
        <v>591</v>
      </c>
      <c r="D161" s="1" t="s">
        <v>55</v>
      </c>
      <c r="E161" s="1" t="s">
        <v>20</v>
      </c>
      <c r="F161" s="1"/>
      <c r="G161" s="1"/>
      <c r="H161" s="1"/>
      <c r="I161" s="1"/>
      <c r="J161" s="2"/>
      <c r="K161" s="3">
        <v>42.312798999999998</v>
      </c>
      <c r="L161" s="3">
        <v>69.646200300000004</v>
      </c>
      <c r="M161" s="1" t="s">
        <v>592</v>
      </c>
      <c r="N161" s="1"/>
      <c r="O161" s="1" t="s">
        <v>58</v>
      </c>
      <c r="P161" s="1" t="s">
        <v>59</v>
      </c>
      <c r="Q161" s="1" t="s">
        <v>60</v>
      </c>
      <c r="R161" s="1" t="s">
        <v>61</v>
      </c>
      <c r="S161" s="1" t="s">
        <v>66</v>
      </c>
    </row>
    <row r="162" spans="1:19" ht="22.8">
      <c r="A162" s="1" t="s">
        <v>593</v>
      </c>
      <c r="B162" s="1" t="s">
        <v>594</v>
      </c>
      <c r="C162" s="1" t="s">
        <v>594</v>
      </c>
      <c r="D162" s="1" t="s">
        <v>55</v>
      </c>
      <c r="E162" s="1" t="s">
        <v>20</v>
      </c>
      <c r="F162" s="1"/>
      <c r="G162" s="1"/>
      <c r="H162" s="1"/>
      <c r="I162" s="1"/>
      <c r="J162" s="2"/>
      <c r="K162" s="3">
        <v>42.312157599999999</v>
      </c>
      <c r="L162" s="3">
        <v>69.569826500000005</v>
      </c>
      <c r="M162" s="1" t="s">
        <v>595</v>
      </c>
      <c r="N162" s="1"/>
      <c r="O162" s="1" t="s">
        <v>58</v>
      </c>
      <c r="P162" s="1" t="s">
        <v>59</v>
      </c>
      <c r="Q162" s="1" t="s">
        <v>60</v>
      </c>
      <c r="R162" s="1" t="s">
        <v>61</v>
      </c>
      <c r="S162" s="1" t="s">
        <v>66</v>
      </c>
    </row>
    <row r="163" spans="1:19" ht="22.8">
      <c r="A163" s="1" t="s">
        <v>596</v>
      </c>
      <c r="B163" s="1" t="s">
        <v>597</v>
      </c>
      <c r="C163" s="1" t="s">
        <v>597</v>
      </c>
      <c r="D163" s="1" t="s">
        <v>55</v>
      </c>
      <c r="E163" s="1" t="s">
        <v>20</v>
      </c>
      <c r="F163" s="1"/>
      <c r="G163" s="1"/>
      <c r="H163" s="1"/>
      <c r="I163" s="1"/>
      <c r="J163" s="2"/>
      <c r="K163" s="3">
        <v>42.3036472</v>
      </c>
      <c r="L163" s="3">
        <v>69.602867599999996</v>
      </c>
      <c r="M163" s="1" t="s">
        <v>598</v>
      </c>
      <c r="N163" s="1"/>
      <c r="O163" s="1" t="s">
        <v>58</v>
      </c>
      <c r="P163" s="1" t="s">
        <v>59</v>
      </c>
      <c r="Q163" s="1" t="s">
        <v>60</v>
      </c>
      <c r="R163" s="1" t="s">
        <v>61</v>
      </c>
      <c r="S163" s="1" t="s">
        <v>66</v>
      </c>
    </row>
    <row r="164" spans="1:19" ht="22.8">
      <c r="A164" s="1" t="s">
        <v>599</v>
      </c>
      <c r="B164" s="1" t="s">
        <v>600</v>
      </c>
      <c r="C164" s="1" t="s">
        <v>600</v>
      </c>
      <c r="D164" s="1" t="s">
        <v>600</v>
      </c>
      <c r="E164" s="1" t="s">
        <v>20</v>
      </c>
      <c r="F164" s="1" t="s">
        <v>56</v>
      </c>
      <c r="G164" s="1"/>
      <c r="H164" s="1"/>
      <c r="I164" s="1"/>
      <c r="J164" s="2"/>
      <c r="K164" s="3">
        <v>42.342669999999998</v>
      </c>
      <c r="L164" s="3">
        <v>69.639425900000006</v>
      </c>
      <c r="M164" s="1" t="s">
        <v>601</v>
      </c>
      <c r="N164" s="1"/>
      <c r="O164" s="1" t="s">
        <v>58</v>
      </c>
      <c r="P164" s="1" t="s">
        <v>59</v>
      </c>
      <c r="Q164" s="1" t="s">
        <v>60</v>
      </c>
      <c r="R164" s="1" t="s">
        <v>61</v>
      </c>
      <c r="S164" s="1" t="s">
        <v>62</v>
      </c>
    </row>
    <row r="165" spans="1:19" ht="22.8">
      <c r="A165" s="1" t="s">
        <v>602</v>
      </c>
      <c r="B165" s="1" t="s">
        <v>600</v>
      </c>
      <c r="C165" s="1" t="s">
        <v>600</v>
      </c>
      <c r="D165" s="1" t="s">
        <v>600</v>
      </c>
      <c r="E165" s="1" t="s">
        <v>20</v>
      </c>
      <c r="F165" s="1" t="s">
        <v>603</v>
      </c>
      <c r="G165" s="1"/>
      <c r="H165" s="1"/>
      <c r="I165" s="1"/>
      <c r="J165" s="2"/>
      <c r="K165" s="3">
        <v>42.397450200000002</v>
      </c>
      <c r="L165" s="3">
        <v>69.577962400000004</v>
      </c>
      <c r="M165" s="1" t="s">
        <v>604</v>
      </c>
      <c r="N165" s="1"/>
      <c r="O165" s="1" t="s">
        <v>58</v>
      </c>
      <c r="P165" s="1" t="s">
        <v>59</v>
      </c>
      <c r="Q165" s="1" t="s">
        <v>60</v>
      </c>
      <c r="R165" s="1" t="s">
        <v>61</v>
      </c>
      <c r="S165" s="1" t="s">
        <v>62</v>
      </c>
    </row>
    <row r="166" spans="1:19" ht="22.8">
      <c r="A166" s="1" t="s">
        <v>605</v>
      </c>
      <c r="B166" s="1" t="s">
        <v>606</v>
      </c>
      <c r="C166" s="1" t="s">
        <v>606</v>
      </c>
      <c r="D166" s="1" t="s">
        <v>55</v>
      </c>
      <c r="E166" s="1" t="s">
        <v>20</v>
      </c>
      <c r="F166" s="1"/>
      <c r="G166" s="1"/>
      <c r="H166" s="1"/>
      <c r="I166" s="1"/>
      <c r="J166" s="2"/>
      <c r="K166" s="3">
        <v>42.308075299999999</v>
      </c>
      <c r="L166" s="3">
        <v>69.576950100000005</v>
      </c>
      <c r="M166" s="1" t="s">
        <v>607</v>
      </c>
      <c r="N166" s="1"/>
      <c r="O166" s="1" t="s">
        <v>58</v>
      </c>
      <c r="P166" s="1" t="s">
        <v>59</v>
      </c>
      <c r="Q166" s="1" t="s">
        <v>60</v>
      </c>
      <c r="R166" s="1" t="s">
        <v>61</v>
      </c>
      <c r="S166" s="1" t="s">
        <v>66</v>
      </c>
    </row>
    <row r="167" spans="1:19" ht="22.8">
      <c r="A167" s="1" t="s">
        <v>608</v>
      </c>
      <c r="B167" s="1" t="s">
        <v>609</v>
      </c>
      <c r="C167" s="1" t="s">
        <v>609</v>
      </c>
      <c r="D167" s="1" t="s">
        <v>55</v>
      </c>
      <c r="E167" s="1" t="s">
        <v>20</v>
      </c>
      <c r="F167" s="1"/>
      <c r="G167" s="1"/>
      <c r="H167" s="1"/>
      <c r="I167" s="1"/>
      <c r="J167" s="2"/>
      <c r="K167" s="3">
        <v>42.302877899999999</v>
      </c>
      <c r="L167" s="3">
        <v>69.595011200000002</v>
      </c>
      <c r="M167" s="1" t="s">
        <v>610</v>
      </c>
      <c r="N167" s="1"/>
      <c r="O167" s="1" t="s">
        <v>58</v>
      </c>
      <c r="P167" s="1" t="s">
        <v>59</v>
      </c>
      <c r="Q167" s="1" t="s">
        <v>60</v>
      </c>
      <c r="R167" s="1" t="s">
        <v>61</v>
      </c>
      <c r="S167" s="1" t="s">
        <v>66</v>
      </c>
    </row>
    <row r="168" spans="1:19" ht="91.2">
      <c r="A168" s="1" t="s">
        <v>611</v>
      </c>
      <c r="B168" s="1" t="s">
        <v>612</v>
      </c>
      <c r="C168" s="1" t="s">
        <v>612</v>
      </c>
      <c r="D168" s="1" t="s">
        <v>55</v>
      </c>
      <c r="E168" s="1" t="s">
        <v>20</v>
      </c>
      <c r="F168" s="1" t="s">
        <v>613</v>
      </c>
      <c r="G168" s="1" t="s">
        <v>614</v>
      </c>
      <c r="H168" s="1" t="s">
        <v>615</v>
      </c>
      <c r="I168" s="1"/>
      <c r="J168" s="2"/>
      <c r="K168" s="3">
        <v>42.312612000000001</v>
      </c>
      <c r="L168" s="3">
        <v>69.565680200000003</v>
      </c>
      <c r="M168" s="1" t="s">
        <v>616</v>
      </c>
      <c r="N168" s="1" t="s">
        <v>617</v>
      </c>
      <c r="O168" s="1" t="s">
        <v>255</v>
      </c>
      <c r="P168" s="1" t="s">
        <v>59</v>
      </c>
      <c r="Q168" s="1" t="s">
        <v>60</v>
      </c>
      <c r="R168" s="1" t="s">
        <v>61</v>
      </c>
      <c r="S168" s="1" t="s">
        <v>62</v>
      </c>
    </row>
    <row r="169" spans="1:19" ht="22.8">
      <c r="A169" s="1" t="s">
        <v>618</v>
      </c>
      <c r="B169" s="1" t="s">
        <v>619</v>
      </c>
      <c r="C169" s="1" t="s">
        <v>619</v>
      </c>
      <c r="D169" s="1" t="s">
        <v>55</v>
      </c>
      <c r="E169" s="1" t="s">
        <v>20</v>
      </c>
      <c r="F169" s="1" t="s">
        <v>620</v>
      </c>
      <c r="G169" s="1"/>
      <c r="H169" s="1"/>
      <c r="I169" s="1"/>
      <c r="J169" s="2"/>
      <c r="K169" s="3">
        <v>42.394457699999997</v>
      </c>
      <c r="L169" s="3">
        <v>69.593274500000007</v>
      </c>
      <c r="M169" s="1" t="s">
        <v>621</v>
      </c>
      <c r="N169" s="1"/>
      <c r="O169" s="1" t="s">
        <v>58</v>
      </c>
      <c r="P169" s="1" t="s">
        <v>59</v>
      </c>
      <c r="Q169" s="1" t="s">
        <v>60</v>
      </c>
      <c r="R169" s="1" t="s">
        <v>61</v>
      </c>
      <c r="S169" s="1" t="s">
        <v>62</v>
      </c>
    </row>
    <row r="170" spans="1:19" ht="22.8">
      <c r="A170" s="1" t="s">
        <v>622</v>
      </c>
      <c r="B170" s="1" t="s">
        <v>623</v>
      </c>
      <c r="C170" s="1" t="s">
        <v>623</v>
      </c>
      <c r="D170" s="1" t="s">
        <v>55</v>
      </c>
      <c r="E170" s="1" t="s">
        <v>20</v>
      </c>
      <c r="F170" s="1" t="s">
        <v>187</v>
      </c>
      <c r="G170" s="1"/>
      <c r="H170" s="1"/>
      <c r="I170" s="1"/>
      <c r="J170" s="2"/>
      <c r="K170" s="3">
        <v>42.319279399999999</v>
      </c>
      <c r="L170" s="3">
        <v>69.575801100000007</v>
      </c>
      <c r="M170" s="1" t="s">
        <v>624</v>
      </c>
      <c r="N170" s="1"/>
      <c r="O170" s="1" t="s">
        <v>58</v>
      </c>
      <c r="P170" s="1" t="s">
        <v>59</v>
      </c>
      <c r="Q170" s="1" t="s">
        <v>60</v>
      </c>
      <c r="R170" s="1" t="s">
        <v>61</v>
      </c>
      <c r="S170" s="1" t="s">
        <v>62</v>
      </c>
    </row>
    <row r="171" spans="1:19" ht="22.8">
      <c r="A171" s="1" t="s">
        <v>625</v>
      </c>
      <c r="B171" s="1" t="s">
        <v>626</v>
      </c>
      <c r="C171" s="1" t="s">
        <v>626</v>
      </c>
      <c r="D171" s="1" t="s">
        <v>55</v>
      </c>
      <c r="E171" s="1" t="s">
        <v>20</v>
      </c>
      <c r="F171" s="1"/>
      <c r="G171" s="1"/>
      <c r="H171" s="1"/>
      <c r="I171" s="1"/>
      <c r="J171" s="2"/>
      <c r="K171" s="3">
        <v>42.314149899999997</v>
      </c>
      <c r="L171" s="3">
        <v>69.584037100000003</v>
      </c>
      <c r="M171" s="1" t="s">
        <v>627</v>
      </c>
      <c r="N171" s="1"/>
      <c r="O171" s="1" t="s">
        <v>58</v>
      </c>
      <c r="P171" s="1" t="s">
        <v>59</v>
      </c>
      <c r="Q171" s="1" t="s">
        <v>60</v>
      </c>
      <c r="R171" s="1" t="s">
        <v>61</v>
      </c>
      <c r="S171" s="1" t="s">
        <v>66</v>
      </c>
    </row>
    <row r="172" spans="1:19" ht="22.8">
      <c r="A172" s="1" t="s">
        <v>628</v>
      </c>
      <c r="B172" s="1" t="s">
        <v>629</v>
      </c>
      <c r="C172" s="1" t="s">
        <v>629</v>
      </c>
      <c r="D172" s="1" t="s">
        <v>55</v>
      </c>
      <c r="E172" s="1" t="s">
        <v>20</v>
      </c>
      <c r="F172" s="1"/>
      <c r="G172" s="1"/>
      <c r="H172" s="1"/>
      <c r="I172" s="1"/>
      <c r="J172" s="2"/>
      <c r="K172" s="3">
        <v>42.312937400000003</v>
      </c>
      <c r="L172" s="3">
        <v>69.584693700000003</v>
      </c>
      <c r="M172" s="1" t="s">
        <v>630</v>
      </c>
      <c r="N172" s="1"/>
      <c r="O172" s="1" t="s">
        <v>58</v>
      </c>
      <c r="P172" s="1" t="s">
        <v>59</v>
      </c>
      <c r="Q172" s="1" t="s">
        <v>60</v>
      </c>
      <c r="R172" s="1" t="s">
        <v>61</v>
      </c>
      <c r="S172" s="1" t="s">
        <v>66</v>
      </c>
    </row>
    <row r="173" spans="1:19" ht="22.8">
      <c r="A173" s="1" t="s">
        <v>631</v>
      </c>
      <c r="B173" s="1" t="s">
        <v>632</v>
      </c>
      <c r="C173" s="1" t="s">
        <v>632</v>
      </c>
      <c r="D173" s="1" t="s">
        <v>55</v>
      </c>
      <c r="E173" s="1" t="s">
        <v>20</v>
      </c>
      <c r="F173" s="1" t="s">
        <v>233</v>
      </c>
      <c r="G173" s="1"/>
      <c r="H173" s="1"/>
      <c r="I173" s="1"/>
      <c r="J173" s="2"/>
      <c r="K173" s="3">
        <v>42.339971499999997</v>
      </c>
      <c r="L173" s="3">
        <v>69.647601899999998</v>
      </c>
      <c r="M173" s="1" t="s">
        <v>633</v>
      </c>
      <c r="N173" s="1"/>
      <c r="O173" s="1" t="s">
        <v>58</v>
      </c>
      <c r="P173" s="1" t="s">
        <v>59</v>
      </c>
      <c r="Q173" s="1" t="s">
        <v>60</v>
      </c>
      <c r="R173" s="1" t="s">
        <v>61</v>
      </c>
      <c r="S173" s="1" t="s">
        <v>62</v>
      </c>
    </row>
    <row r="174" spans="1:19" ht="22.8">
      <c r="A174" s="1" t="s">
        <v>634</v>
      </c>
      <c r="B174" s="1" t="s">
        <v>635</v>
      </c>
      <c r="C174" s="1" t="s">
        <v>635</v>
      </c>
      <c r="D174" s="1" t="s">
        <v>55</v>
      </c>
      <c r="E174" s="1" t="s">
        <v>20</v>
      </c>
      <c r="F174" s="1" t="s">
        <v>636</v>
      </c>
      <c r="G174" s="1"/>
      <c r="H174" s="1"/>
      <c r="I174" s="1"/>
      <c r="J174" s="2"/>
      <c r="K174" s="3">
        <v>42.314563700000001</v>
      </c>
      <c r="L174" s="3">
        <v>69.661391100000003</v>
      </c>
      <c r="M174" s="1" t="s">
        <v>637</v>
      </c>
      <c r="N174" s="1"/>
      <c r="O174" s="1" t="s">
        <v>58</v>
      </c>
      <c r="P174" s="1" t="s">
        <v>59</v>
      </c>
      <c r="Q174" s="1" t="s">
        <v>60</v>
      </c>
      <c r="R174" s="1" t="s">
        <v>61</v>
      </c>
      <c r="S174" s="1" t="s">
        <v>62</v>
      </c>
    </row>
    <row r="175" spans="1:19" ht="22.8">
      <c r="A175" s="1" t="s">
        <v>638</v>
      </c>
      <c r="B175" s="1" t="s">
        <v>639</v>
      </c>
      <c r="C175" s="1" t="s">
        <v>639</v>
      </c>
      <c r="D175" s="1" t="s">
        <v>55</v>
      </c>
      <c r="E175" s="1" t="s">
        <v>20</v>
      </c>
      <c r="F175" s="1" t="s">
        <v>277</v>
      </c>
      <c r="G175" s="1"/>
      <c r="H175" s="1"/>
      <c r="I175" s="1"/>
      <c r="J175" s="2"/>
      <c r="K175" s="3">
        <v>42.376683300000003</v>
      </c>
      <c r="L175" s="3">
        <v>69.555025499999999</v>
      </c>
      <c r="M175" s="1" t="s">
        <v>640</v>
      </c>
      <c r="N175" s="1"/>
      <c r="O175" s="1" t="s">
        <v>58</v>
      </c>
      <c r="P175" s="1" t="s">
        <v>59</v>
      </c>
      <c r="Q175" s="1" t="s">
        <v>60</v>
      </c>
      <c r="R175" s="1" t="s">
        <v>61</v>
      </c>
      <c r="S175" s="1" t="s">
        <v>62</v>
      </c>
    </row>
    <row r="176" spans="1:19" ht="22.8">
      <c r="A176" s="1" t="s">
        <v>641</v>
      </c>
      <c r="B176" s="1" t="s">
        <v>642</v>
      </c>
      <c r="C176" s="1" t="s">
        <v>642</v>
      </c>
      <c r="D176" s="1" t="s">
        <v>55</v>
      </c>
      <c r="E176" s="1" t="s">
        <v>20</v>
      </c>
      <c r="F176" s="1"/>
      <c r="G176" s="1"/>
      <c r="H176" s="1"/>
      <c r="I176" s="1"/>
      <c r="J176" s="2"/>
      <c r="K176" s="3">
        <v>42.292490200000003</v>
      </c>
      <c r="L176" s="3">
        <v>69.582556299999993</v>
      </c>
      <c r="M176" s="1" t="s">
        <v>643</v>
      </c>
      <c r="N176" s="1"/>
      <c r="O176" s="1" t="s">
        <v>58</v>
      </c>
      <c r="P176" s="1" t="s">
        <v>59</v>
      </c>
      <c r="Q176" s="1" t="s">
        <v>60</v>
      </c>
      <c r="R176" s="1" t="s">
        <v>61</v>
      </c>
      <c r="S176" s="1" t="s">
        <v>66</v>
      </c>
    </row>
    <row r="177" spans="1:19" ht="22.8">
      <c r="A177" s="1" t="s">
        <v>644</v>
      </c>
      <c r="B177" s="1" t="s">
        <v>645</v>
      </c>
      <c r="C177" s="1" t="s">
        <v>645</v>
      </c>
      <c r="D177" s="1" t="s">
        <v>645</v>
      </c>
      <c r="E177" s="1" t="s">
        <v>20</v>
      </c>
      <c r="F177" s="1"/>
      <c r="G177" s="1"/>
      <c r="H177" s="1"/>
      <c r="I177" s="1"/>
      <c r="J177" s="2"/>
      <c r="K177" s="3">
        <v>42.333734</v>
      </c>
      <c r="L177" s="3">
        <v>69.646170699999999</v>
      </c>
      <c r="M177" s="1" t="s">
        <v>646</v>
      </c>
      <c r="N177" s="1"/>
      <c r="O177" s="1" t="s">
        <v>58</v>
      </c>
      <c r="P177" s="1" t="s">
        <v>59</v>
      </c>
      <c r="Q177" s="1" t="s">
        <v>60</v>
      </c>
      <c r="R177" s="1" t="s">
        <v>61</v>
      </c>
      <c r="S177" s="1" t="s">
        <v>66</v>
      </c>
    </row>
    <row r="178" spans="1:19" ht="22.8">
      <c r="A178" s="1" t="s">
        <v>647</v>
      </c>
      <c r="B178" s="1" t="s">
        <v>645</v>
      </c>
      <c r="C178" s="1" t="s">
        <v>645</v>
      </c>
      <c r="D178" s="1" t="s">
        <v>645</v>
      </c>
      <c r="E178" s="1" t="s">
        <v>20</v>
      </c>
      <c r="F178" s="1"/>
      <c r="G178" s="1"/>
      <c r="H178" s="1"/>
      <c r="I178" s="1"/>
      <c r="J178" s="2"/>
      <c r="K178" s="3">
        <v>42.343505899999997</v>
      </c>
      <c r="L178" s="3">
        <v>69.622600199999994</v>
      </c>
      <c r="M178" s="1" t="s">
        <v>648</v>
      </c>
      <c r="N178" s="1"/>
      <c r="O178" s="1" t="s">
        <v>58</v>
      </c>
      <c r="P178" s="1" t="s">
        <v>59</v>
      </c>
      <c r="Q178" s="1" t="s">
        <v>60</v>
      </c>
      <c r="R178" s="1" t="s">
        <v>61</v>
      </c>
      <c r="S178" s="1" t="s">
        <v>66</v>
      </c>
    </row>
    <row r="179" spans="1:19" ht="22.8">
      <c r="A179" s="1" t="s">
        <v>649</v>
      </c>
      <c r="B179" s="1" t="s">
        <v>645</v>
      </c>
      <c r="C179" s="1" t="s">
        <v>645</v>
      </c>
      <c r="D179" s="1" t="s">
        <v>645</v>
      </c>
      <c r="E179" s="1" t="s">
        <v>20</v>
      </c>
      <c r="F179" s="1"/>
      <c r="G179" s="1"/>
      <c r="H179" s="1"/>
      <c r="I179" s="1"/>
      <c r="J179" s="2"/>
      <c r="K179" s="3">
        <v>42.3444152</v>
      </c>
      <c r="L179" s="3">
        <v>69.624104799999998</v>
      </c>
      <c r="M179" s="1" t="s">
        <v>650</v>
      </c>
      <c r="N179" s="1"/>
      <c r="O179" s="1" t="s">
        <v>58</v>
      </c>
      <c r="P179" s="1" t="s">
        <v>59</v>
      </c>
      <c r="Q179" s="1" t="s">
        <v>60</v>
      </c>
      <c r="R179" s="1" t="s">
        <v>61</v>
      </c>
      <c r="S179" s="1" t="s">
        <v>66</v>
      </c>
    </row>
    <row r="180" spans="1:19" ht="22.8">
      <c r="A180" s="1" t="s">
        <v>651</v>
      </c>
      <c r="B180" s="1" t="s">
        <v>652</v>
      </c>
      <c r="C180" s="1" t="s">
        <v>652</v>
      </c>
      <c r="D180" s="1" t="s">
        <v>55</v>
      </c>
      <c r="E180" s="1" t="s">
        <v>20</v>
      </c>
      <c r="F180" s="1" t="s">
        <v>653</v>
      </c>
      <c r="G180" s="1"/>
      <c r="H180" s="1"/>
      <c r="I180" s="1"/>
      <c r="J180" s="2"/>
      <c r="K180" s="3">
        <v>42.369696599999997</v>
      </c>
      <c r="L180" s="3">
        <v>69.664844900000006</v>
      </c>
      <c r="M180" s="1" t="s">
        <v>654</v>
      </c>
      <c r="N180" s="1"/>
      <c r="O180" s="1" t="s">
        <v>58</v>
      </c>
      <c r="P180" s="1" t="s">
        <v>59</v>
      </c>
      <c r="Q180" s="1" t="s">
        <v>60</v>
      </c>
      <c r="R180" s="1" t="s">
        <v>61</v>
      </c>
      <c r="S180" s="1" t="s">
        <v>62</v>
      </c>
    </row>
    <row r="181" spans="1:19" ht="22.8">
      <c r="A181" s="1" t="s">
        <v>655</v>
      </c>
      <c r="B181" s="1" t="s">
        <v>656</v>
      </c>
      <c r="C181" s="1" t="s">
        <v>656</v>
      </c>
      <c r="D181" s="1" t="s">
        <v>55</v>
      </c>
      <c r="E181" s="1" t="s">
        <v>20</v>
      </c>
      <c r="F181" s="1" t="s">
        <v>233</v>
      </c>
      <c r="G181" s="1"/>
      <c r="H181" s="1"/>
      <c r="I181" s="1"/>
      <c r="J181" s="2"/>
      <c r="K181" s="3">
        <v>42.340691399999997</v>
      </c>
      <c r="L181" s="3">
        <v>69.648019199999993</v>
      </c>
      <c r="M181" s="1" t="s">
        <v>657</v>
      </c>
      <c r="N181" s="1"/>
      <c r="O181" s="1" t="s">
        <v>58</v>
      </c>
      <c r="P181" s="1" t="s">
        <v>59</v>
      </c>
      <c r="Q181" s="1" t="s">
        <v>60</v>
      </c>
      <c r="R181" s="1" t="s">
        <v>61</v>
      </c>
      <c r="S181" s="1" t="s">
        <v>62</v>
      </c>
    </row>
    <row r="182" spans="1:19" ht="22.8">
      <c r="A182" s="1" t="s">
        <v>658</v>
      </c>
      <c r="B182" s="1" t="s">
        <v>659</v>
      </c>
      <c r="C182" s="1" t="s">
        <v>659</v>
      </c>
      <c r="D182" s="1" t="s">
        <v>55</v>
      </c>
      <c r="E182" s="1" t="s">
        <v>20</v>
      </c>
      <c r="F182" s="1" t="s">
        <v>660</v>
      </c>
      <c r="G182" s="1"/>
      <c r="H182" s="1"/>
      <c r="I182" s="1"/>
      <c r="J182" s="2"/>
      <c r="K182" s="3">
        <v>42.339420199999999</v>
      </c>
      <c r="L182" s="3">
        <v>69.647348100000002</v>
      </c>
      <c r="M182" s="1" t="s">
        <v>661</v>
      </c>
      <c r="N182" s="1"/>
      <c r="O182" s="1" t="s">
        <v>58</v>
      </c>
      <c r="P182" s="1" t="s">
        <v>59</v>
      </c>
      <c r="Q182" s="1" t="s">
        <v>60</v>
      </c>
      <c r="R182" s="1" t="s">
        <v>61</v>
      </c>
      <c r="S182" s="1" t="s">
        <v>62</v>
      </c>
    </row>
    <row r="183" spans="1:19" ht="22.8">
      <c r="A183" s="1" t="s">
        <v>662</v>
      </c>
      <c r="B183" s="1" t="s">
        <v>663</v>
      </c>
      <c r="C183" s="1" t="s">
        <v>663</v>
      </c>
      <c r="D183" s="1" t="s">
        <v>55</v>
      </c>
      <c r="E183" s="1" t="s">
        <v>20</v>
      </c>
      <c r="F183" s="1"/>
      <c r="G183" s="1"/>
      <c r="H183" s="1"/>
      <c r="I183" s="1"/>
      <c r="J183" s="2"/>
      <c r="K183" s="3">
        <v>42.318365100000001</v>
      </c>
      <c r="L183" s="3">
        <v>69.6274619</v>
      </c>
      <c r="M183" s="1" t="s">
        <v>664</v>
      </c>
      <c r="N183" s="1"/>
      <c r="O183" s="1" t="s">
        <v>58</v>
      </c>
      <c r="P183" s="1" t="s">
        <v>59</v>
      </c>
      <c r="Q183" s="1" t="s">
        <v>60</v>
      </c>
      <c r="R183" s="1" t="s">
        <v>61</v>
      </c>
      <c r="S183" s="1" t="s">
        <v>66</v>
      </c>
    </row>
    <row r="184" spans="1:19" ht="22.8">
      <c r="A184" s="1" t="s">
        <v>665</v>
      </c>
      <c r="B184" s="1" t="s">
        <v>666</v>
      </c>
      <c r="C184" s="1" t="s">
        <v>666</v>
      </c>
      <c r="D184" s="1" t="s">
        <v>55</v>
      </c>
      <c r="E184" s="1" t="s">
        <v>20</v>
      </c>
      <c r="F184" s="1"/>
      <c r="G184" s="1"/>
      <c r="H184" s="1"/>
      <c r="I184" s="1"/>
      <c r="J184" s="2"/>
      <c r="K184" s="3">
        <v>42.345972000000003</v>
      </c>
      <c r="L184" s="3">
        <v>69.622988199999995</v>
      </c>
      <c r="M184" s="1" t="s">
        <v>667</v>
      </c>
      <c r="N184" s="1"/>
      <c r="O184" s="1" t="s">
        <v>58</v>
      </c>
      <c r="P184" s="1" t="s">
        <v>59</v>
      </c>
      <c r="Q184" s="1" t="s">
        <v>60</v>
      </c>
      <c r="R184" s="1" t="s">
        <v>61</v>
      </c>
      <c r="S184" s="1" t="s">
        <v>66</v>
      </c>
    </row>
    <row r="185" spans="1:19" ht="22.8">
      <c r="A185" s="1" t="s">
        <v>668</v>
      </c>
      <c r="B185" s="1" t="s">
        <v>669</v>
      </c>
      <c r="C185" s="1" t="s">
        <v>669</v>
      </c>
      <c r="D185" s="1" t="s">
        <v>55</v>
      </c>
      <c r="E185" s="1" t="s">
        <v>20</v>
      </c>
      <c r="F185" s="1"/>
      <c r="G185" s="1"/>
      <c r="H185" s="1"/>
      <c r="I185" s="1"/>
      <c r="J185" s="2"/>
      <c r="K185" s="3">
        <v>42.291226799999997</v>
      </c>
      <c r="L185" s="3">
        <v>69.623375899999999</v>
      </c>
      <c r="M185" s="1" t="s">
        <v>670</v>
      </c>
      <c r="N185" s="1"/>
      <c r="O185" s="1" t="s">
        <v>58</v>
      </c>
      <c r="P185" s="1" t="s">
        <v>59</v>
      </c>
      <c r="Q185" s="1" t="s">
        <v>60</v>
      </c>
      <c r="R185" s="1" t="s">
        <v>61</v>
      </c>
      <c r="S185" s="1" t="s">
        <v>66</v>
      </c>
    </row>
    <row r="186" spans="1:19" ht="22.8">
      <c r="A186" s="1" t="s">
        <v>671</v>
      </c>
      <c r="B186" s="1" t="s">
        <v>672</v>
      </c>
      <c r="C186" s="1" t="s">
        <v>672</v>
      </c>
      <c r="D186" s="1" t="s">
        <v>55</v>
      </c>
      <c r="E186" s="1" t="s">
        <v>20</v>
      </c>
      <c r="F186" s="1" t="s">
        <v>270</v>
      </c>
      <c r="G186" s="1"/>
      <c r="H186" s="1"/>
      <c r="I186" s="1"/>
      <c r="J186" s="2"/>
      <c r="K186" s="3">
        <v>42.360823600000003</v>
      </c>
      <c r="L186" s="3">
        <v>69.626663399999998</v>
      </c>
      <c r="M186" s="1" t="s">
        <v>673</v>
      </c>
      <c r="N186" s="1"/>
      <c r="O186" s="1" t="s">
        <v>58</v>
      </c>
      <c r="P186" s="1" t="s">
        <v>59</v>
      </c>
      <c r="Q186" s="1" t="s">
        <v>60</v>
      </c>
      <c r="R186" s="1" t="s">
        <v>61</v>
      </c>
      <c r="S186" s="1" t="s">
        <v>62</v>
      </c>
    </row>
    <row r="187" spans="1:19" ht="22.8">
      <c r="A187" s="1" t="s">
        <v>674</v>
      </c>
      <c r="B187" s="1" t="s">
        <v>675</v>
      </c>
      <c r="C187" s="1" t="s">
        <v>675</v>
      </c>
      <c r="D187" s="1" t="s">
        <v>55</v>
      </c>
      <c r="E187" s="1" t="s">
        <v>20</v>
      </c>
      <c r="F187" s="1"/>
      <c r="G187" s="1"/>
      <c r="H187" s="1"/>
      <c r="I187" s="1"/>
      <c r="J187" s="2"/>
      <c r="K187" s="3">
        <v>42.410950200000002</v>
      </c>
      <c r="L187" s="3">
        <v>69.551084700000004</v>
      </c>
      <c r="M187" s="1" t="s">
        <v>676</v>
      </c>
      <c r="N187" s="1"/>
      <c r="O187" s="1" t="s">
        <v>58</v>
      </c>
      <c r="P187" s="1" t="s">
        <v>59</v>
      </c>
      <c r="Q187" s="1" t="s">
        <v>60</v>
      </c>
      <c r="R187" s="1" t="s">
        <v>61</v>
      </c>
      <c r="S187" s="1" t="s">
        <v>66</v>
      </c>
    </row>
    <row r="188" spans="1:19" ht="22.8">
      <c r="A188" s="1" t="s">
        <v>677</v>
      </c>
      <c r="B188" s="1" t="s">
        <v>678</v>
      </c>
      <c r="C188" s="1" t="s">
        <v>678</v>
      </c>
      <c r="D188" s="1" t="s">
        <v>678</v>
      </c>
      <c r="E188" s="1" t="s">
        <v>20</v>
      </c>
      <c r="F188" s="1"/>
      <c r="G188" s="1"/>
      <c r="H188" s="1"/>
      <c r="I188" s="1"/>
      <c r="J188" s="2"/>
      <c r="K188" s="3">
        <v>42.338675700000003</v>
      </c>
      <c r="L188" s="3">
        <v>69.637461999999999</v>
      </c>
      <c r="M188" s="1" t="s">
        <v>679</v>
      </c>
      <c r="N188" s="1"/>
      <c r="O188" s="1" t="s">
        <v>58</v>
      </c>
      <c r="P188" s="1" t="s">
        <v>59</v>
      </c>
      <c r="Q188" s="1" t="s">
        <v>60</v>
      </c>
      <c r="R188" s="1" t="s">
        <v>61</v>
      </c>
      <c r="S188" s="1" t="s">
        <v>66</v>
      </c>
    </row>
    <row r="189" spans="1:19" ht="22.8">
      <c r="A189" s="1" t="s">
        <v>680</v>
      </c>
      <c r="B189" s="1" t="s">
        <v>678</v>
      </c>
      <c r="C189" s="1" t="s">
        <v>678</v>
      </c>
      <c r="D189" s="1" t="s">
        <v>678</v>
      </c>
      <c r="E189" s="1" t="s">
        <v>20</v>
      </c>
      <c r="F189" s="1"/>
      <c r="G189" s="1"/>
      <c r="H189" s="1"/>
      <c r="I189" s="1"/>
      <c r="J189" s="2"/>
      <c r="K189" s="3">
        <v>42.380947800000001</v>
      </c>
      <c r="L189" s="3">
        <v>69.766503</v>
      </c>
      <c r="M189" s="1" t="s">
        <v>681</v>
      </c>
      <c r="N189" s="1"/>
      <c r="O189" s="1" t="s">
        <v>58</v>
      </c>
      <c r="P189" s="1" t="s">
        <v>59</v>
      </c>
      <c r="Q189" s="1" t="s">
        <v>60</v>
      </c>
      <c r="R189" s="1" t="s">
        <v>61</v>
      </c>
      <c r="S189" s="1" t="s">
        <v>66</v>
      </c>
    </row>
    <row r="190" spans="1:19" ht="22.8">
      <c r="A190" s="1" t="s">
        <v>682</v>
      </c>
      <c r="B190" s="1" t="s">
        <v>678</v>
      </c>
      <c r="C190" s="1" t="s">
        <v>678</v>
      </c>
      <c r="D190" s="1" t="s">
        <v>678</v>
      </c>
      <c r="E190" s="1" t="s">
        <v>20</v>
      </c>
      <c r="F190" s="1"/>
      <c r="G190" s="1"/>
      <c r="H190" s="1"/>
      <c r="I190" s="1"/>
      <c r="J190" s="2"/>
      <c r="K190" s="3">
        <v>42.401563099999997</v>
      </c>
      <c r="L190" s="3">
        <v>69.566879</v>
      </c>
      <c r="M190" s="1" t="s">
        <v>683</v>
      </c>
      <c r="N190" s="1"/>
      <c r="O190" s="1" t="s">
        <v>58</v>
      </c>
      <c r="P190" s="1" t="s">
        <v>59</v>
      </c>
      <c r="Q190" s="1" t="s">
        <v>60</v>
      </c>
      <c r="R190" s="1" t="s">
        <v>61</v>
      </c>
      <c r="S190" s="1" t="s">
        <v>66</v>
      </c>
    </row>
    <row r="191" spans="1:19" ht="22.8">
      <c r="A191" s="1" t="s">
        <v>684</v>
      </c>
      <c r="B191" s="1" t="s">
        <v>685</v>
      </c>
      <c r="C191" s="1" t="s">
        <v>685</v>
      </c>
      <c r="D191" s="1" t="s">
        <v>686</v>
      </c>
      <c r="E191" s="1" t="s">
        <v>20</v>
      </c>
      <c r="F191" s="1"/>
      <c r="G191" s="1"/>
      <c r="H191" s="1"/>
      <c r="I191" s="1"/>
      <c r="J191" s="2"/>
      <c r="K191" s="3">
        <v>42.344020800000003</v>
      </c>
      <c r="L191" s="3">
        <v>69.638069299999998</v>
      </c>
      <c r="M191" s="1" t="s">
        <v>687</v>
      </c>
      <c r="N191" s="1"/>
      <c r="O191" s="1" t="s">
        <v>58</v>
      </c>
      <c r="P191" s="1" t="s">
        <v>59</v>
      </c>
      <c r="Q191" s="1" t="s">
        <v>60</v>
      </c>
      <c r="R191" s="1" t="s">
        <v>61</v>
      </c>
      <c r="S191" s="1" t="s">
        <v>66</v>
      </c>
    </row>
    <row r="192" spans="1:19" ht="22.8">
      <c r="A192" s="1" t="s">
        <v>688</v>
      </c>
      <c r="B192" s="1" t="s">
        <v>689</v>
      </c>
      <c r="C192" s="1" t="s">
        <v>689</v>
      </c>
      <c r="D192" s="1" t="s">
        <v>55</v>
      </c>
      <c r="E192" s="1" t="s">
        <v>20</v>
      </c>
      <c r="F192" s="1"/>
      <c r="G192" s="1"/>
      <c r="H192" s="1"/>
      <c r="I192" s="1"/>
      <c r="J192" s="2"/>
      <c r="K192" s="3">
        <v>42.286994</v>
      </c>
      <c r="L192" s="3">
        <v>69.586250000000007</v>
      </c>
      <c r="M192" s="1" t="s">
        <v>690</v>
      </c>
      <c r="N192" s="1"/>
      <c r="O192" s="1" t="s">
        <v>58</v>
      </c>
      <c r="P192" s="1" t="s">
        <v>59</v>
      </c>
      <c r="Q192" s="1" t="s">
        <v>60</v>
      </c>
      <c r="R192" s="1" t="s">
        <v>61</v>
      </c>
      <c r="S192" s="1" t="s">
        <v>66</v>
      </c>
    </row>
    <row r="193" spans="1:19" ht="22.8">
      <c r="A193" s="1" t="s">
        <v>691</v>
      </c>
      <c r="B193" s="1" t="s">
        <v>692</v>
      </c>
      <c r="C193" s="1" t="s">
        <v>692</v>
      </c>
      <c r="D193" s="1" t="s">
        <v>55</v>
      </c>
      <c r="E193" s="1" t="s">
        <v>20</v>
      </c>
      <c r="F193" s="1"/>
      <c r="G193" s="1"/>
      <c r="H193" s="1"/>
      <c r="I193" s="1"/>
      <c r="J193" s="2"/>
      <c r="K193" s="3">
        <v>42.276079600000003</v>
      </c>
      <c r="L193" s="3">
        <v>69.5970449</v>
      </c>
      <c r="M193" s="1" t="s">
        <v>693</v>
      </c>
      <c r="N193" s="1"/>
      <c r="O193" s="1" t="s">
        <v>58</v>
      </c>
      <c r="P193" s="1" t="s">
        <v>59</v>
      </c>
      <c r="Q193" s="1" t="s">
        <v>60</v>
      </c>
      <c r="R193" s="1" t="s">
        <v>61</v>
      </c>
      <c r="S193" s="1" t="s">
        <v>66</v>
      </c>
    </row>
    <row r="194" spans="1:19" ht="22.8">
      <c r="A194" s="1" t="s">
        <v>694</v>
      </c>
      <c r="B194" s="1" t="s">
        <v>695</v>
      </c>
      <c r="C194" s="1" t="s">
        <v>695</v>
      </c>
      <c r="D194" s="1" t="s">
        <v>55</v>
      </c>
      <c r="E194" s="1" t="s">
        <v>20</v>
      </c>
      <c r="F194" s="1" t="s">
        <v>696</v>
      </c>
      <c r="G194" s="1"/>
      <c r="H194" s="1"/>
      <c r="I194" s="1"/>
      <c r="J194" s="2"/>
      <c r="K194" s="3">
        <v>42.354061000000002</v>
      </c>
      <c r="L194" s="3">
        <v>69.528064999999998</v>
      </c>
      <c r="M194" s="1" t="s">
        <v>697</v>
      </c>
      <c r="N194" s="1"/>
      <c r="O194" s="1" t="s">
        <v>58</v>
      </c>
      <c r="P194" s="1" t="s">
        <v>59</v>
      </c>
      <c r="Q194" s="1" t="s">
        <v>60</v>
      </c>
      <c r="R194" s="1" t="s">
        <v>61</v>
      </c>
      <c r="S194" s="1" t="s">
        <v>62</v>
      </c>
    </row>
    <row r="195" spans="1:19" ht="22.8">
      <c r="A195" s="1" t="s">
        <v>698</v>
      </c>
      <c r="B195" s="1" t="s">
        <v>699</v>
      </c>
      <c r="C195" s="1" t="s">
        <v>699</v>
      </c>
      <c r="D195" s="1" t="s">
        <v>55</v>
      </c>
      <c r="E195" s="1" t="s">
        <v>20</v>
      </c>
      <c r="F195" s="1"/>
      <c r="G195" s="1"/>
      <c r="H195" s="1"/>
      <c r="I195" s="1"/>
      <c r="J195" s="2"/>
      <c r="K195" s="3">
        <v>42.343987599999998</v>
      </c>
      <c r="L195" s="3">
        <v>69.621555700000002</v>
      </c>
      <c r="M195" s="1" t="s">
        <v>700</v>
      </c>
      <c r="N195" s="1"/>
      <c r="O195" s="1" t="s">
        <v>58</v>
      </c>
      <c r="P195" s="1" t="s">
        <v>59</v>
      </c>
      <c r="Q195" s="1" t="s">
        <v>60</v>
      </c>
      <c r="R195" s="1" t="s">
        <v>61</v>
      </c>
      <c r="S195" s="1" t="s">
        <v>66</v>
      </c>
    </row>
    <row r="196" spans="1:19" ht="22.8">
      <c r="A196" s="1" t="s">
        <v>701</v>
      </c>
      <c r="B196" s="1" t="s">
        <v>702</v>
      </c>
      <c r="C196" s="1" t="s">
        <v>702</v>
      </c>
      <c r="D196" s="1" t="s">
        <v>55</v>
      </c>
      <c r="E196" s="1" t="s">
        <v>20</v>
      </c>
      <c r="F196" s="1"/>
      <c r="G196" s="1"/>
      <c r="H196" s="1"/>
      <c r="I196" s="1"/>
      <c r="J196" s="2"/>
      <c r="K196" s="3">
        <v>42.310927399999997</v>
      </c>
      <c r="L196" s="3">
        <v>69.576548000000003</v>
      </c>
      <c r="M196" s="1" t="s">
        <v>703</v>
      </c>
      <c r="N196" s="1"/>
      <c r="O196" s="1" t="s">
        <v>58</v>
      </c>
      <c r="P196" s="1" t="s">
        <v>59</v>
      </c>
      <c r="Q196" s="1" t="s">
        <v>60</v>
      </c>
      <c r="R196" s="1" t="s">
        <v>61</v>
      </c>
      <c r="S196" s="1" t="s">
        <v>66</v>
      </c>
    </row>
    <row r="197" spans="1:19" ht="22.8">
      <c r="A197" s="1" t="s">
        <v>704</v>
      </c>
      <c r="B197" s="1" t="s">
        <v>705</v>
      </c>
      <c r="C197" s="1" t="s">
        <v>705</v>
      </c>
      <c r="D197" s="1" t="s">
        <v>55</v>
      </c>
      <c r="E197" s="1" t="s">
        <v>20</v>
      </c>
      <c r="F197" s="1"/>
      <c r="G197" s="1"/>
      <c r="H197" s="1"/>
      <c r="I197" s="1"/>
      <c r="J197" s="2"/>
      <c r="K197" s="3">
        <v>42.347994</v>
      </c>
      <c r="L197" s="3">
        <v>69.616282499999997</v>
      </c>
      <c r="M197" s="1" t="s">
        <v>706</v>
      </c>
      <c r="N197" s="1"/>
      <c r="O197" s="1" t="s">
        <v>58</v>
      </c>
      <c r="P197" s="1" t="s">
        <v>59</v>
      </c>
      <c r="Q197" s="1" t="s">
        <v>60</v>
      </c>
      <c r="R197" s="1" t="s">
        <v>61</v>
      </c>
      <c r="S197" s="1" t="s">
        <v>66</v>
      </c>
    </row>
    <row r="198" spans="1:19" ht="22.8">
      <c r="A198" s="1" t="s">
        <v>707</v>
      </c>
      <c r="B198" s="1" t="s">
        <v>708</v>
      </c>
      <c r="C198" s="1" t="s">
        <v>708</v>
      </c>
      <c r="D198" s="1" t="s">
        <v>55</v>
      </c>
      <c r="E198" s="1" t="s">
        <v>20</v>
      </c>
      <c r="F198" s="1"/>
      <c r="G198" s="1"/>
      <c r="H198" s="1"/>
      <c r="I198" s="1"/>
      <c r="J198" s="2"/>
      <c r="K198" s="3">
        <v>42.313792499999998</v>
      </c>
      <c r="L198" s="3">
        <v>69.581688999999997</v>
      </c>
      <c r="M198" s="1" t="s">
        <v>709</v>
      </c>
      <c r="N198" s="1"/>
      <c r="O198" s="1" t="s">
        <v>58</v>
      </c>
      <c r="P198" s="1" t="s">
        <v>59</v>
      </c>
      <c r="Q198" s="1" t="s">
        <v>60</v>
      </c>
      <c r="R198" s="1" t="s">
        <v>61</v>
      </c>
      <c r="S198" s="1" t="s">
        <v>66</v>
      </c>
    </row>
    <row r="199" spans="1:19" ht="22.8">
      <c r="A199" s="1" t="s">
        <v>710</v>
      </c>
      <c r="B199" s="1" t="s">
        <v>711</v>
      </c>
      <c r="C199" s="1" t="s">
        <v>711</v>
      </c>
      <c r="D199" s="1" t="s">
        <v>55</v>
      </c>
      <c r="E199" s="1" t="s">
        <v>20</v>
      </c>
      <c r="F199" s="1"/>
      <c r="G199" s="1"/>
      <c r="H199" s="1"/>
      <c r="I199" s="1"/>
      <c r="J199" s="2"/>
      <c r="K199" s="3">
        <v>42.340250900000001</v>
      </c>
      <c r="L199" s="3">
        <v>69.648160500000003</v>
      </c>
      <c r="M199" s="1" t="s">
        <v>712</v>
      </c>
      <c r="N199" s="1"/>
      <c r="O199" s="1" t="s">
        <v>58</v>
      </c>
      <c r="P199" s="1" t="s">
        <v>59</v>
      </c>
      <c r="Q199" s="1" t="s">
        <v>60</v>
      </c>
      <c r="R199" s="1" t="s">
        <v>61</v>
      </c>
      <c r="S199" s="1" t="s">
        <v>66</v>
      </c>
    </row>
    <row r="200" spans="1:19" ht="22.8">
      <c r="A200" s="1" t="s">
        <v>713</v>
      </c>
      <c r="B200" s="1" t="s">
        <v>714</v>
      </c>
      <c r="C200" s="1" t="s">
        <v>714</v>
      </c>
      <c r="D200" s="1" t="s">
        <v>55</v>
      </c>
      <c r="E200" s="1" t="s">
        <v>20</v>
      </c>
      <c r="F200" s="1"/>
      <c r="G200" s="1"/>
      <c r="H200" s="1"/>
      <c r="I200" s="1"/>
      <c r="J200" s="2"/>
      <c r="K200" s="3">
        <v>42.376071000000003</v>
      </c>
      <c r="L200" s="3">
        <v>69.759630099999995</v>
      </c>
      <c r="M200" s="1" t="s">
        <v>715</v>
      </c>
      <c r="N200" s="1"/>
      <c r="O200" s="1" t="s">
        <v>58</v>
      </c>
      <c r="P200" s="1" t="s">
        <v>59</v>
      </c>
      <c r="Q200" s="1" t="s">
        <v>60</v>
      </c>
      <c r="R200" s="1" t="s">
        <v>61</v>
      </c>
      <c r="S200" s="1" t="s">
        <v>66</v>
      </c>
    </row>
    <row r="201" spans="1:19" ht="22.8">
      <c r="A201" s="1" t="s">
        <v>716</v>
      </c>
      <c r="B201" s="1" t="s">
        <v>717</v>
      </c>
      <c r="C201" s="1" t="s">
        <v>717</v>
      </c>
      <c r="D201" s="1" t="s">
        <v>55</v>
      </c>
      <c r="E201" s="1" t="s">
        <v>20</v>
      </c>
      <c r="F201" s="1"/>
      <c r="G201" s="1"/>
      <c r="H201" s="1"/>
      <c r="I201" s="1"/>
      <c r="J201" s="2"/>
      <c r="K201" s="3">
        <v>42.225288200000001</v>
      </c>
      <c r="L201" s="3">
        <v>69.803853000000004</v>
      </c>
      <c r="M201" s="1" t="s">
        <v>718</v>
      </c>
      <c r="N201" s="1"/>
      <c r="O201" s="1" t="s">
        <v>58</v>
      </c>
      <c r="P201" s="1" t="s">
        <v>59</v>
      </c>
      <c r="Q201" s="1" t="s">
        <v>60</v>
      </c>
      <c r="R201" s="1" t="s">
        <v>61</v>
      </c>
      <c r="S201" s="1" t="s">
        <v>66</v>
      </c>
    </row>
    <row r="202" spans="1:19" ht="22.8">
      <c r="A202" s="1" t="s">
        <v>719</v>
      </c>
      <c r="B202" s="1" t="s">
        <v>720</v>
      </c>
      <c r="C202" s="1" t="s">
        <v>720</v>
      </c>
      <c r="D202" s="1" t="s">
        <v>55</v>
      </c>
      <c r="E202" s="1" t="s">
        <v>20</v>
      </c>
      <c r="F202" s="1" t="s">
        <v>176</v>
      </c>
      <c r="G202" s="1"/>
      <c r="H202" s="1"/>
      <c r="I202" s="1"/>
      <c r="J202" s="2"/>
      <c r="K202" s="3">
        <v>42.2989842</v>
      </c>
      <c r="L202" s="3">
        <v>69.582662999999997</v>
      </c>
      <c r="M202" s="1" t="s">
        <v>721</v>
      </c>
      <c r="N202" s="1"/>
      <c r="O202" s="1" t="s">
        <v>58</v>
      </c>
      <c r="P202" s="1" t="s">
        <v>59</v>
      </c>
      <c r="Q202" s="1" t="s">
        <v>60</v>
      </c>
      <c r="R202" s="1" t="s">
        <v>61</v>
      </c>
      <c r="S202" s="1" t="s">
        <v>62</v>
      </c>
    </row>
    <row r="203" spans="1:19" ht="22.8">
      <c r="A203" s="1" t="s">
        <v>722</v>
      </c>
      <c r="B203" s="1" t="s">
        <v>723</v>
      </c>
      <c r="C203" s="1" t="s">
        <v>723</v>
      </c>
      <c r="D203" s="1" t="s">
        <v>55</v>
      </c>
      <c r="E203" s="1" t="s">
        <v>20</v>
      </c>
      <c r="F203" s="1" t="s">
        <v>233</v>
      </c>
      <c r="G203" s="1"/>
      <c r="H203" s="1"/>
      <c r="I203" s="1"/>
      <c r="J203" s="2"/>
      <c r="K203" s="3">
        <v>42.337282999999999</v>
      </c>
      <c r="L203" s="3">
        <v>69.646217199999995</v>
      </c>
      <c r="M203" s="1" t="s">
        <v>724</v>
      </c>
      <c r="N203" s="1"/>
      <c r="O203" s="1" t="s">
        <v>58</v>
      </c>
      <c r="P203" s="1" t="s">
        <v>59</v>
      </c>
      <c r="Q203" s="1" t="s">
        <v>60</v>
      </c>
      <c r="R203" s="1" t="s">
        <v>61</v>
      </c>
      <c r="S203" s="1" t="s">
        <v>62</v>
      </c>
    </row>
    <row r="204" spans="1:19" ht="22.8">
      <c r="A204" s="1" t="s">
        <v>725</v>
      </c>
      <c r="B204" s="1" t="s">
        <v>726</v>
      </c>
      <c r="C204" s="1" t="s">
        <v>726</v>
      </c>
      <c r="D204" s="1" t="s">
        <v>726</v>
      </c>
      <c r="E204" s="1" t="s">
        <v>20</v>
      </c>
      <c r="F204" s="1" t="s">
        <v>308</v>
      </c>
      <c r="G204" s="1"/>
      <c r="H204" s="1"/>
      <c r="I204" s="1"/>
      <c r="J204" s="2"/>
      <c r="K204" s="3">
        <v>42.362698799999997</v>
      </c>
      <c r="L204" s="3">
        <v>69.630855100000005</v>
      </c>
      <c r="M204" s="1" t="s">
        <v>727</v>
      </c>
      <c r="N204" s="1"/>
      <c r="O204" s="1" t="s">
        <v>58</v>
      </c>
      <c r="P204" s="1" t="s">
        <v>59</v>
      </c>
      <c r="Q204" s="1" t="s">
        <v>60</v>
      </c>
      <c r="R204" s="1" t="s">
        <v>61</v>
      </c>
      <c r="S204" s="1" t="s">
        <v>62</v>
      </c>
    </row>
    <row r="205" spans="1:19" ht="22.8">
      <c r="A205" s="1" t="s">
        <v>728</v>
      </c>
      <c r="B205" s="1" t="s">
        <v>726</v>
      </c>
      <c r="C205" s="1" t="s">
        <v>726</v>
      </c>
      <c r="D205" s="1" t="s">
        <v>726</v>
      </c>
      <c r="E205" s="1" t="s">
        <v>20</v>
      </c>
      <c r="F205" s="1"/>
      <c r="G205" s="1"/>
      <c r="H205" s="1"/>
      <c r="I205" s="1"/>
      <c r="J205" s="2"/>
      <c r="K205" s="3">
        <v>42.392665000000001</v>
      </c>
      <c r="L205" s="3">
        <v>69.573414499999998</v>
      </c>
      <c r="M205" s="1" t="s">
        <v>729</v>
      </c>
      <c r="N205" s="1"/>
      <c r="O205" s="1" t="s">
        <v>58</v>
      </c>
      <c r="P205" s="1" t="s">
        <v>59</v>
      </c>
      <c r="Q205" s="1" t="s">
        <v>60</v>
      </c>
      <c r="R205" s="1" t="s">
        <v>61</v>
      </c>
      <c r="S205" s="1" t="s">
        <v>66</v>
      </c>
    </row>
    <row r="206" spans="1:19" ht="22.8">
      <c r="A206" s="1" t="s">
        <v>730</v>
      </c>
      <c r="B206" s="1" t="s">
        <v>731</v>
      </c>
      <c r="C206" s="1" t="s">
        <v>731</v>
      </c>
      <c r="D206" s="1" t="s">
        <v>55</v>
      </c>
      <c r="E206" s="1" t="s">
        <v>20</v>
      </c>
      <c r="F206" s="1" t="s">
        <v>732</v>
      </c>
      <c r="G206" s="1"/>
      <c r="H206" s="1"/>
      <c r="I206" s="1"/>
      <c r="J206" s="2"/>
      <c r="K206" s="3">
        <v>42.298419899999999</v>
      </c>
      <c r="L206" s="3">
        <v>69.5467996</v>
      </c>
      <c r="M206" s="1" t="s">
        <v>733</v>
      </c>
      <c r="N206" s="1"/>
      <c r="O206" s="1" t="s">
        <v>58</v>
      </c>
      <c r="P206" s="1" t="s">
        <v>59</v>
      </c>
      <c r="Q206" s="1" t="s">
        <v>60</v>
      </c>
      <c r="R206" s="1" t="s">
        <v>61</v>
      </c>
      <c r="S206" s="1" t="s">
        <v>62</v>
      </c>
    </row>
    <row r="207" spans="1:19" ht="22.8">
      <c r="A207" s="1" t="s">
        <v>734</v>
      </c>
      <c r="B207" s="1" t="s">
        <v>735</v>
      </c>
      <c r="C207" s="1" t="s">
        <v>735</v>
      </c>
      <c r="D207" s="1" t="s">
        <v>55</v>
      </c>
      <c r="E207" s="1" t="s">
        <v>20</v>
      </c>
      <c r="F207" s="1"/>
      <c r="G207" s="1"/>
      <c r="H207" s="1"/>
      <c r="I207" s="1"/>
      <c r="J207" s="2"/>
      <c r="K207" s="3">
        <v>42.315189099999998</v>
      </c>
      <c r="L207" s="3">
        <v>69.581047299999994</v>
      </c>
      <c r="M207" s="1" t="s">
        <v>736</v>
      </c>
      <c r="N207" s="1"/>
      <c r="O207" s="1" t="s">
        <v>58</v>
      </c>
      <c r="P207" s="1" t="s">
        <v>59</v>
      </c>
      <c r="Q207" s="1" t="s">
        <v>60</v>
      </c>
      <c r="R207" s="1" t="s">
        <v>61</v>
      </c>
      <c r="S207" s="1" t="s">
        <v>66</v>
      </c>
    </row>
    <row r="208" spans="1:19" ht="22.8">
      <c r="A208" s="1" t="s">
        <v>737</v>
      </c>
      <c r="B208" s="1" t="s">
        <v>738</v>
      </c>
      <c r="C208" s="1" t="s">
        <v>738</v>
      </c>
      <c r="D208" s="1" t="s">
        <v>55</v>
      </c>
      <c r="E208" s="1" t="s">
        <v>20</v>
      </c>
      <c r="F208" s="1"/>
      <c r="G208" s="1"/>
      <c r="H208" s="1"/>
      <c r="I208" s="1"/>
      <c r="J208" s="2"/>
      <c r="K208" s="3">
        <v>42.3395723</v>
      </c>
      <c r="L208" s="3">
        <v>69.638074799999998</v>
      </c>
      <c r="M208" s="1" t="s">
        <v>739</v>
      </c>
      <c r="N208" s="1"/>
      <c r="O208" s="1" t="s">
        <v>58</v>
      </c>
      <c r="P208" s="1" t="s">
        <v>59</v>
      </c>
      <c r="Q208" s="1" t="s">
        <v>60</v>
      </c>
      <c r="R208" s="1" t="s">
        <v>61</v>
      </c>
      <c r="S208" s="1" t="s">
        <v>66</v>
      </c>
    </row>
    <row r="209" spans="1:19" ht="22.8">
      <c r="A209" s="1" t="s">
        <v>740</v>
      </c>
      <c r="B209" s="1" t="s">
        <v>741</v>
      </c>
      <c r="C209" s="1" t="s">
        <v>741</v>
      </c>
      <c r="D209" s="1" t="s">
        <v>55</v>
      </c>
      <c r="E209" s="1" t="s">
        <v>20</v>
      </c>
      <c r="F209" s="1"/>
      <c r="G209" s="1"/>
      <c r="H209" s="1"/>
      <c r="I209" s="1"/>
      <c r="J209" s="2"/>
      <c r="K209" s="3">
        <v>42.343188400000003</v>
      </c>
      <c r="L209" s="3">
        <v>69.637589399999996</v>
      </c>
      <c r="M209" s="1" t="s">
        <v>742</v>
      </c>
      <c r="N209" s="1"/>
      <c r="O209" s="1" t="s">
        <v>58</v>
      </c>
      <c r="P209" s="1" t="s">
        <v>59</v>
      </c>
      <c r="Q209" s="1" t="s">
        <v>60</v>
      </c>
      <c r="R209" s="1" t="s">
        <v>61</v>
      </c>
      <c r="S209" s="1" t="s">
        <v>66</v>
      </c>
    </row>
    <row r="210" spans="1:19" ht="22.8">
      <c r="A210" s="1" t="s">
        <v>743</v>
      </c>
      <c r="B210" s="1" t="s">
        <v>744</v>
      </c>
      <c r="C210" s="1" t="s">
        <v>744</v>
      </c>
      <c r="D210" s="1" t="s">
        <v>55</v>
      </c>
      <c r="E210" s="1" t="s">
        <v>20</v>
      </c>
      <c r="F210" s="1"/>
      <c r="G210" s="1"/>
      <c r="H210" s="1"/>
      <c r="I210" s="1"/>
      <c r="J210" s="2"/>
      <c r="K210" s="3">
        <v>42.343582599999998</v>
      </c>
      <c r="L210" s="3">
        <v>69.6228184</v>
      </c>
      <c r="M210" s="1" t="s">
        <v>745</v>
      </c>
      <c r="N210" s="1"/>
      <c r="O210" s="1" t="s">
        <v>58</v>
      </c>
      <c r="P210" s="1" t="s">
        <v>59</v>
      </c>
      <c r="Q210" s="1" t="s">
        <v>60</v>
      </c>
      <c r="R210" s="1" t="s">
        <v>61</v>
      </c>
      <c r="S210" s="1" t="s">
        <v>66</v>
      </c>
    </row>
    <row r="211" spans="1:19" ht="22.8">
      <c r="A211" s="1" t="s">
        <v>746</v>
      </c>
      <c r="B211" s="1" t="s">
        <v>747</v>
      </c>
      <c r="C211" s="1" t="s">
        <v>747</v>
      </c>
      <c r="D211" s="1" t="s">
        <v>55</v>
      </c>
      <c r="E211" s="1" t="s">
        <v>20</v>
      </c>
      <c r="F211" s="1" t="s">
        <v>143</v>
      </c>
      <c r="G211" s="1"/>
      <c r="H211" s="1"/>
      <c r="I211" s="1"/>
      <c r="J211" s="2"/>
      <c r="K211" s="3">
        <v>42.221587700000001</v>
      </c>
      <c r="L211" s="3">
        <v>69.805264600000001</v>
      </c>
      <c r="M211" s="1" t="s">
        <v>748</v>
      </c>
      <c r="N211" s="1"/>
      <c r="O211" s="1" t="s">
        <v>58</v>
      </c>
      <c r="P211" s="1" t="s">
        <v>59</v>
      </c>
      <c r="Q211" s="1" t="s">
        <v>60</v>
      </c>
      <c r="R211" s="1" t="s">
        <v>61</v>
      </c>
      <c r="S211" s="1" t="s">
        <v>62</v>
      </c>
    </row>
    <row r="212" spans="1:19" ht="22.8">
      <c r="A212" s="1" t="s">
        <v>749</v>
      </c>
      <c r="B212" s="1" t="s">
        <v>750</v>
      </c>
      <c r="C212" s="1" t="s">
        <v>750</v>
      </c>
      <c r="D212" s="1" t="s">
        <v>55</v>
      </c>
      <c r="E212" s="1" t="s">
        <v>20</v>
      </c>
      <c r="F212" s="1" t="s">
        <v>281</v>
      </c>
      <c r="G212" s="1"/>
      <c r="H212" s="1"/>
      <c r="I212" s="1"/>
      <c r="J212" s="2"/>
      <c r="K212" s="3">
        <v>42.344819100000002</v>
      </c>
      <c r="L212" s="3">
        <v>69.635711400000005</v>
      </c>
      <c r="M212" s="1" t="s">
        <v>751</v>
      </c>
      <c r="N212" s="1"/>
      <c r="O212" s="1" t="s">
        <v>58</v>
      </c>
      <c r="P212" s="1" t="s">
        <v>59</v>
      </c>
      <c r="Q212" s="1" t="s">
        <v>60</v>
      </c>
      <c r="R212" s="1" t="s">
        <v>61</v>
      </c>
      <c r="S212" s="1" t="s">
        <v>62</v>
      </c>
    </row>
    <row r="213" spans="1:19" ht="22.8">
      <c r="A213" s="1" t="s">
        <v>752</v>
      </c>
      <c r="B213" s="1" t="s">
        <v>753</v>
      </c>
      <c r="C213" s="1" t="s">
        <v>753</v>
      </c>
      <c r="D213" s="1" t="s">
        <v>55</v>
      </c>
      <c r="E213" s="1" t="s">
        <v>20</v>
      </c>
      <c r="F213" s="1"/>
      <c r="G213" s="1"/>
      <c r="H213" s="1"/>
      <c r="I213" s="1"/>
      <c r="J213" s="2"/>
      <c r="K213" s="3">
        <v>42.311053800000003</v>
      </c>
      <c r="L213" s="3">
        <v>69.576109299999999</v>
      </c>
      <c r="M213" s="1" t="s">
        <v>754</v>
      </c>
      <c r="N213" s="1"/>
      <c r="O213" s="1" t="s">
        <v>58</v>
      </c>
      <c r="P213" s="1" t="s">
        <v>59</v>
      </c>
      <c r="Q213" s="1" t="s">
        <v>60</v>
      </c>
      <c r="R213" s="1" t="s">
        <v>61</v>
      </c>
      <c r="S213" s="1" t="s">
        <v>66</v>
      </c>
    </row>
    <row r="214" spans="1:19" ht="22.8">
      <c r="A214" s="1" t="s">
        <v>755</v>
      </c>
      <c r="B214" s="1" t="s">
        <v>756</v>
      </c>
      <c r="C214" s="1" t="s">
        <v>756</v>
      </c>
      <c r="D214" s="1" t="s">
        <v>55</v>
      </c>
      <c r="E214" s="1" t="s">
        <v>20</v>
      </c>
      <c r="F214" s="1" t="s">
        <v>97</v>
      </c>
      <c r="G214" s="1"/>
      <c r="H214" s="1"/>
      <c r="I214" s="1"/>
      <c r="J214" s="2"/>
      <c r="K214" s="3">
        <v>42.339801100000003</v>
      </c>
      <c r="L214" s="3">
        <v>69.610550200000006</v>
      </c>
      <c r="M214" s="1" t="s">
        <v>757</v>
      </c>
      <c r="N214" s="1"/>
      <c r="O214" s="1" t="s">
        <v>58</v>
      </c>
      <c r="P214" s="1" t="s">
        <v>59</v>
      </c>
      <c r="Q214" s="1" t="s">
        <v>60</v>
      </c>
      <c r="R214" s="1" t="s">
        <v>61</v>
      </c>
      <c r="S214" s="1" t="s">
        <v>62</v>
      </c>
    </row>
    <row r="215" spans="1:19" ht="22.8">
      <c r="A215" s="1" t="s">
        <v>758</v>
      </c>
      <c r="B215" s="1" t="s">
        <v>759</v>
      </c>
      <c r="C215" s="1" t="s">
        <v>759</v>
      </c>
      <c r="D215" s="1" t="s">
        <v>55</v>
      </c>
      <c r="E215" s="1" t="s">
        <v>20</v>
      </c>
      <c r="F215" s="1"/>
      <c r="G215" s="1"/>
      <c r="H215" s="1"/>
      <c r="I215" s="1"/>
      <c r="J215" s="2"/>
      <c r="K215" s="3">
        <v>42.344314699999998</v>
      </c>
      <c r="L215" s="3">
        <v>69.641596399999997</v>
      </c>
      <c r="M215" s="1" t="s">
        <v>760</v>
      </c>
      <c r="N215" s="1"/>
      <c r="O215" s="1" t="s">
        <v>58</v>
      </c>
      <c r="P215" s="1" t="s">
        <v>59</v>
      </c>
      <c r="Q215" s="1" t="s">
        <v>60</v>
      </c>
      <c r="R215" s="1" t="s">
        <v>61</v>
      </c>
      <c r="S215" s="1" t="s">
        <v>66</v>
      </c>
    </row>
    <row r="216" spans="1:19" ht="22.8">
      <c r="A216" s="1" t="s">
        <v>761</v>
      </c>
      <c r="B216" s="1" t="s">
        <v>762</v>
      </c>
      <c r="C216" s="1" t="s">
        <v>762</v>
      </c>
      <c r="D216" s="1" t="s">
        <v>762</v>
      </c>
      <c r="E216" s="1" t="s">
        <v>20</v>
      </c>
      <c r="F216" s="1"/>
      <c r="G216" s="1"/>
      <c r="H216" s="1"/>
      <c r="I216" s="1"/>
      <c r="J216" s="2"/>
      <c r="K216" s="3">
        <v>42.348248699999999</v>
      </c>
      <c r="L216" s="3">
        <v>69.618760399999999</v>
      </c>
      <c r="M216" s="1" t="s">
        <v>763</v>
      </c>
      <c r="N216" s="1"/>
      <c r="O216" s="1" t="s">
        <v>58</v>
      </c>
      <c r="P216" s="1" t="s">
        <v>59</v>
      </c>
      <c r="Q216" s="1" t="s">
        <v>60</v>
      </c>
      <c r="R216" s="1" t="s">
        <v>61</v>
      </c>
      <c r="S216" s="1" t="s">
        <v>66</v>
      </c>
    </row>
    <row r="217" spans="1:19" ht="22.8">
      <c r="A217" s="1" t="s">
        <v>764</v>
      </c>
      <c r="B217" s="1" t="s">
        <v>765</v>
      </c>
      <c r="C217" s="1" t="s">
        <v>765</v>
      </c>
      <c r="D217" s="1" t="s">
        <v>55</v>
      </c>
      <c r="E217" s="1" t="s">
        <v>20</v>
      </c>
      <c r="F217" s="1" t="s">
        <v>766</v>
      </c>
      <c r="G217" s="1"/>
      <c r="H217" s="1"/>
      <c r="I217" s="1"/>
      <c r="J217" s="2"/>
      <c r="K217" s="3">
        <v>42.311069799999999</v>
      </c>
      <c r="L217" s="3">
        <v>69.563461899999993</v>
      </c>
      <c r="M217" s="1" t="s">
        <v>767</v>
      </c>
      <c r="N217" s="1"/>
      <c r="O217" s="1" t="s">
        <v>58</v>
      </c>
      <c r="P217" s="1" t="s">
        <v>59</v>
      </c>
      <c r="Q217" s="1" t="s">
        <v>60</v>
      </c>
      <c r="R217" s="1" t="s">
        <v>61</v>
      </c>
      <c r="S217" s="1" t="s">
        <v>62</v>
      </c>
    </row>
    <row r="218" spans="1:19" ht="22.8">
      <c r="A218" s="1" t="s">
        <v>768</v>
      </c>
      <c r="B218" s="1" t="s">
        <v>769</v>
      </c>
      <c r="C218" s="1" t="s">
        <v>769</v>
      </c>
      <c r="D218" s="1" t="s">
        <v>55</v>
      </c>
      <c r="E218" s="1" t="s">
        <v>20</v>
      </c>
      <c r="F218" s="1"/>
      <c r="G218" s="1"/>
      <c r="H218" s="1"/>
      <c r="I218" s="1"/>
      <c r="J218" s="2"/>
      <c r="K218" s="3">
        <v>42.307125599999999</v>
      </c>
      <c r="L218" s="3">
        <v>69.575770500000004</v>
      </c>
      <c r="M218" s="1" t="s">
        <v>770</v>
      </c>
      <c r="N218" s="1"/>
      <c r="O218" s="1" t="s">
        <v>58</v>
      </c>
      <c r="P218" s="1" t="s">
        <v>59</v>
      </c>
      <c r="Q218" s="1" t="s">
        <v>60</v>
      </c>
      <c r="R218" s="1" t="s">
        <v>61</v>
      </c>
      <c r="S218" s="1" t="s">
        <v>66</v>
      </c>
    </row>
    <row r="219" spans="1:19" ht="22.8">
      <c r="A219" s="1" t="s">
        <v>771</v>
      </c>
      <c r="B219" s="1" t="s">
        <v>772</v>
      </c>
      <c r="C219" s="1" t="s">
        <v>772</v>
      </c>
      <c r="D219" s="1" t="s">
        <v>55</v>
      </c>
      <c r="E219" s="1" t="s">
        <v>20</v>
      </c>
      <c r="F219" s="1"/>
      <c r="G219" s="1"/>
      <c r="H219" s="1"/>
      <c r="I219" s="1"/>
      <c r="J219" s="2"/>
      <c r="K219" s="3">
        <v>42.343863300000002</v>
      </c>
      <c r="L219" s="3">
        <v>69.620038899999997</v>
      </c>
      <c r="M219" s="1" t="s">
        <v>773</v>
      </c>
      <c r="N219" s="1"/>
      <c r="O219" s="1" t="s">
        <v>58</v>
      </c>
      <c r="P219" s="1" t="s">
        <v>59</v>
      </c>
      <c r="Q219" s="1" t="s">
        <v>60</v>
      </c>
      <c r="R219" s="1" t="s">
        <v>61</v>
      </c>
      <c r="S219" s="1" t="s">
        <v>66</v>
      </c>
    </row>
    <row r="220" spans="1:19" ht="22.8">
      <c r="A220" s="1" t="s">
        <v>774</v>
      </c>
      <c r="B220" s="1" t="s">
        <v>775</v>
      </c>
      <c r="C220" s="1" t="s">
        <v>775</v>
      </c>
      <c r="D220" s="1" t="s">
        <v>55</v>
      </c>
      <c r="E220" s="1" t="s">
        <v>20</v>
      </c>
      <c r="F220" s="1" t="s">
        <v>97</v>
      </c>
      <c r="G220" s="1"/>
      <c r="H220" s="1"/>
      <c r="I220" s="1"/>
      <c r="J220" s="2"/>
      <c r="K220" s="3">
        <v>42.337749299999999</v>
      </c>
      <c r="L220" s="3">
        <v>69.609605799999997</v>
      </c>
      <c r="M220" s="1" t="s">
        <v>776</v>
      </c>
      <c r="N220" s="1"/>
      <c r="O220" s="1" t="s">
        <v>58</v>
      </c>
      <c r="P220" s="1" t="s">
        <v>59</v>
      </c>
      <c r="Q220" s="1" t="s">
        <v>60</v>
      </c>
      <c r="R220" s="1" t="s">
        <v>61</v>
      </c>
      <c r="S220" s="1" t="s">
        <v>62</v>
      </c>
    </row>
    <row r="221" spans="1:19" ht="22.8">
      <c r="A221" s="1" t="s">
        <v>777</v>
      </c>
      <c r="B221" s="1" t="s">
        <v>778</v>
      </c>
      <c r="C221" s="1" t="s">
        <v>778</v>
      </c>
      <c r="D221" s="1" t="s">
        <v>55</v>
      </c>
      <c r="E221" s="1" t="s">
        <v>20</v>
      </c>
      <c r="F221" s="1" t="s">
        <v>233</v>
      </c>
      <c r="G221" s="1"/>
      <c r="H221" s="1"/>
      <c r="I221" s="1"/>
      <c r="J221" s="2"/>
      <c r="K221" s="3">
        <v>42.336719700000003</v>
      </c>
      <c r="L221" s="3">
        <v>69.642978099999993</v>
      </c>
      <c r="M221" s="1" t="s">
        <v>779</v>
      </c>
      <c r="N221" s="1"/>
      <c r="O221" s="1" t="s">
        <v>58</v>
      </c>
      <c r="P221" s="1" t="s">
        <v>59</v>
      </c>
      <c r="Q221" s="1" t="s">
        <v>60</v>
      </c>
      <c r="R221" s="1" t="s">
        <v>61</v>
      </c>
      <c r="S221" s="1" t="s">
        <v>62</v>
      </c>
    </row>
    <row r="222" spans="1:19" ht="22.8">
      <c r="A222" s="1" t="s">
        <v>780</v>
      </c>
      <c r="B222" s="1" t="s">
        <v>781</v>
      </c>
      <c r="C222" s="1" t="s">
        <v>781</v>
      </c>
      <c r="D222" s="1" t="s">
        <v>55</v>
      </c>
      <c r="E222" s="1" t="s">
        <v>20</v>
      </c>
      <c r="F222" s="1"/>
      <c r="G222" s="1"/>
      <c r="H222" s="1"/>
      <c r="I222" s="1"/>
      <c r="J222" s="2"/>
      <c r="K222" s="3">
        <v>42.347582000000003</v>
      </c>
      <c r="L222" s="3">
        <v>69.616147900000001</v>
      </c>
      <c r="M222" s="1" t="s">
        <v>782</v>
      </c>
      <c r="N222" s="1"/>
      <c r="O222" s="1" t="s">
        <v>58</v>
      </c>
      <c r="P222" s="1" t="s">
        <v>59</v>
      </c>
      <c r="Q222" s="1" t="s">
        <v>60</v>
      </c>
      <c r="R222" s="1" t="s">
        <v>61</v>
      </c>
      <c r="S222" s="1" t="s">
        <v>66</v>
      </c>
    </row>
    <row r="223" spans="1:19" ht="22.8">
      <c r="A223" s="1" t="s">
        <v>783</v>
      </c>
      <c r="B223" s="1" t="s">
        <v>784</v>
      </c>
      <c r="C223" s="1" t="s">
        <v>784</v>
      </c>
      <c r="D223" s="1" t="s">
        <v>55</v>
      </c>
      <c r="E223" s="1" t="s">
        <v>20</v>
      </c>
      <c r="F223" s="1" t="s">
        <v>157</v>
      </c>
      <c r="G223" s="1"/>
      <c r="H223" s="1"/>
      <c r="I223" s="1"/>
      <c r="J223" s="2"/>
      <c r="K223" s="3">
        <v>42.396835899999999</v>
      </c>
      <c r="L223" s="3">
        <v>69.586458699999994</v>
      </c>
      <c r="M223" s="1" t="s">
        <v>785</v>
      </c>
      <c r="N223" s="1"/>
      <c r="O223" s="1" t="s">
        <v>58</v>
      </c>
      <c r="P223" s="1" t="s">
        <v>59</v>
      </c>
      <c r="Q223" s="1" t="s">
        <v>60</v>
      </c>
      <c r="R223" s="1" t="s">
        <v>61</v>
      </c>
      <c r="S223" s="1" t="s">
        <v>62</v>
      </c>
    </row>
    <row r="224" spans="1:19" ht="22.8">
      <c r="A224" s="1" t="s">
        <v>786</v>
      </c>
      <c r="B224" s="1" t="s">
        <v>787</v>
      </c>
      <c r="C224" s="1" t="s">
        <v>787</v>
      </c>
      <c r="D224" s="1" t="s">
        <v>787</v>
      </c>
      <c r="E224" s="1" t="s">
        <v>20</v>
      </c>
      <c r="F224" s="1"/>
      <c r="G224" s="1"/>
      <c r="H224" s="1"/>
      <c r="I224" s="1"/>
      <c r="J224" s="2"/>
      <c r="K224" s="3">
        <v>42.313844000000003</v>
      </c>
      <c r="L224" s="3">
        <v>69.583026000000004</v>
      </c>
      <c r="M224" s="1" t="s">
        <v>788</v>
      </c>
      <c r="N224" s="1"/>
      <c r="O224" s="1" t="s">
        <v>58</v>
      </c>
      <c r="P224" s="1" t="s">
        <v>59</v>
      </c>
      <c r="Q224" s="1" t="s">
        <v>60</v>
      </c>
      <c r="R224" s="1" t="s">
        <v>61</v>
      </c>
      <c r="S224" s="1" t="s">
        <v>66</v>
      </c>
    </row>
    <row r="225" spans="1:19" ht="22.8">
      <c r="A225" s="1" t="s">
        <v>789</v>
      </c>
      <c r="B225" s="1" t="s">
        <v>790</v>
      </c>
      <c r="C225" s="1" t="s">
        <v>790</v>
      </c>
      <c r="D225" s="1" t="s">
        <v>55</v>
      </c>
      <c r="E225" s="1" t="s">
        <v>20</v>
      </c>
      <c r="F225" s="1" t="s">
        <v>233</v>
      </c>
      <c r="G225" s="1"/>
      <c r="H225" s="1"/>
      <c r="I225" s="1"/>
      <c r="J225" s="2"/>
      <c r="K225" s="3">
        <v>42.336129800000002</v>
      </c>
      <c r="L225" s="3">
        <v>69.642740000000003</v>
      </c>
      <c r="M225" s="1" t="s">
        <v>791</v>
      </c>
      <c r="N225" s="1"/>
      <c r="O225" s="1" t="s">
        <v>58</v>
      </c>
      <c r="P225" s="1" t="s">
        <v>59</v>
      </c>
      <c r="Q225" s="1" t="s">
        <v>60</v>
      </c>
      <c r="R225" s="1" t="s">
        <v>61</v>
      </c>
      <c r="S225" s="1" t="s">
        <v>62</v>
      </c>
    </row>
    <row r="226" spans="1:19" ht="22.8">
      <c r="A226" s="1" t="s">
        <v>792</v>
      </c>
      <c r="B226" s="1" t="s">
        <v>793</v>
      </c>
      <c r="C226" s="1" t="s">
        <v>793</v>
      </c>
      <c r="D226" s="1" t="s">
        <v>55</v>
      </c>
      <c r="E226" s="1" t="s">
        <v>20</v>
      </c>
      <c r="F226" s="1"/>
      <c r="G226" s="1"/>
      <c r="H226" s="1"/>
      <c r="I226" s="1"/>
      <c r="J226" s="2"/>
      <c r="K226" s="3">
        <v>42.3657884</v>
      </c>
      <c r="L226" s="3">
        <v>69.738272899999998</v>
      </c>
      <c r="M226" s="1" t="s">
        <v>794</v>
      </c>
      <c r="N226" s="1"/>
      <c r="O226" s="1" t="s">
        <v>58</v>
      </c>
      <c r="P226" s="1" t="s">
        <v>59</v>
      </c>
      <c r="Q226" s="1" t="s">
        <v>60</v>
      </c>
      <c r="R226" s="1" t="s">
        <v>61</v>
      </c>
      <c r="S226" s="1" t="s">
        <v>66</v>
      </c>
    </row>
    <row r="227" spans="1:19" ht="22.8">
      <c r="A227" s="1" t="s">
        <v>795</v>
      </c>
      <c r="B227" s="1" t="s">
        <v>796</v>
      </c>
      <c r="C227" s="1" t="s">
        <v>796</v>
      </c>
      <c r="D227" s="1" t="s">
        <v>55</v>
      </c>
      <c r="E227" s="1" t="s">
        <v>20</v>
      </c>
      <c r="F227" s="1" t="s">
        <v>422</v>
      </c>
      <c r="G227" s="1"/>
      <c r="H227" s="1"/>
      <c r="I227" s="1"/>
      <c r="J227" s="2"/>
      <c r="K227" s="3">
        <v>42.216890200000002</v>
      </c>
      <c r="L227" s="3">
        <v>69.803697700000001</v>
      </c>
      <c r="M227" s="1" t="s">
        <v>797</v>
      </c>
      <c r="N227" s="1"/>
      <c r="O227" s="1" t="s">
        <v>58</v>
      </c>
      <c r="P227" s="1" t="s">
        <v>59</v>
      </c>
      <c r="Q227" s="1" t="s">
        <v>60</v>
      </c>
      <c r="R227" s="1" t="s">
        <v>61</v>
      </c>
      <c r="S227" s="1" t="s">
        <v>62</v>
      </c>
    </row>
    <row r="228" spans="1:19" ht="22.8">
      <c r="A228" s="1" t="s">
        <v>798</v>
      </c>
      <c r="B228" s="1" t="s">
        <v>799</v>
      </c>
      <c r="C228" s="1" t="s">
        <v>799</v>
      </c>
      <c r="D228" s="1" t="s">
        <v>799</v>
      </c>
      <c r="E228" s="1" t="s">
        <v>20</v>
      </c>
      <c r="F228" s="1" t="s">
        <v>56</v>
      </c>
      <c r="G228" s="1"/>
      <c r="H228" s="1"/>
      <c r="I228" s="1"/>
      <c r="J228" s="2"/>
      <c r="K228" s="3">
        <v>42.343382300000002</v>
      </c>
      <c r="L228" s="3">
        <v>69.642992100000001</v>
      </c>
      <c r="M228" s="1" t="s">
        <v>800</v>
      </c>
      <c r="N228" s="1"/>
      <c r="O228" s="1" t="s">
        <v>58</v>
      </c>
      <c r="P228" s="1" t="s">
        <v>59</v>
      </c>
      <c r="Q228" s="1" t="s">
        <v>60</v>
      </c>
      <c r="R228" s="1" t="s">
        <v>61</v>
      </c>
      <c r="S228" s="1" t="s">
        <v>62</v>
      </c>
    </row>
    <row r="229" spans="1:19" ht="22.8">
      <c r="A229" s="1" t="s">
        <v>801</v>
      </c>
      <c r="B229" s="1" t="s">
        <v>799</v>
      </c>
      <c r="C229" s="1" t="s">
        <v>799</v>
      </c>
      <c r="D229" s="1" t="s">
        <v>799</v>
      </c>
      <c r="E229" s="1" t="s">
        <v>20</v>
      </c>
      <c r="F229" s="1"/>
      <c r="G229" s="1"/>
      <c r="H229" s="1"/>
      <c r="I229" s="1"/>
      <c r="J229" s="2"/>
      <c r="K229" s="3">
        <v>42.344597</v>
      </c>
      <c r="L229" s="3">
        <v>69.6242503</v>
      </c>
      <c r="M229" s="1" t="s">
        <v>802</v>
      </c>
      <c r="N229" s="1"/>
      <c r="O229" s="1" t="s">
        <v>58</v>
      </c>
      <c r="P229" s="1" t="s">
        <v>59</v>
      </c>
      <c r="Q229" s="1" t="s">
        <v>60</v>
      </c>
      <c r="R229" s="1" t="s">
        <v>61</v>
      </c>
      <c r="S229" s="1" t="s">
        <v>66</v>
      </c>
    </row>
    <row r="230" spans="1:19" ht="22.8">
      <c r="A230" s="1" t="s">
        <v>803</v>
      </c>
      <c r="B230" s="1" t="s">
        <v>804</v>
      </c>
      <c r="C230" s="1" t="s">
        <v>804</v>
      </c>
      <c r="D230" s="1" t="s">
        <v>55</v>
      </c>
      <c r="E230" s="1" t="s">
        <v>20</v>
      </c>
      <c r="F230" s="1" t="s">
        <v>805</v>
      </c>
      <c r="G230" s="1"/>
      <c r="H230" s="1"/>
      <c r="I230" s="1"/>
      <c r="J230" s="2"/>
      <c r="K230" s="3">
        <v>42.3355362</v>
      </c>
      <c r="L230" s="3">
        <v>69.611533399999999</v>
      </c>
      <c r="M230" s="1" t="s">
        <v>806</v>
      </c>
      <c r="N230" s="1"/>
      <c r="O230" s="1" t="s">
        <v>58</v>
      </c>
      <c r="P230" s="1" t="s">
        <v>59</v>
      </c>
      <c r="Q230" s="1" t="s">
        <v>60</v>
      </c>
      <c r="R230" s="1" t="s">
        <v>61</v>
      </c>
      <c r="S230" s="1" t="s">
        <v>62</v>
      </c>
    </row>
    <row r="231" spans="1:19" ht="91.2">
      <c r="A231" s="1" t="s">
        <v>807</v>
      </c>
      <c r="B231" s="1" t="s">
        <v>808</v>
      </c>
      <c r="C231" s="1" t="s">
        <v>808</v>
      </c>
      <c r="D231" s="1" t="s">
        <v>809</v>
      </c>
      <c r="E231" s="1" t="s">
        <v>20</v>
      </c>
      <c r="F231" s="1" t="s">
        <v>810</v>
      </c>
      <c r="G231" s="1" t="s">
        <v>251</v>
      </c>
      <c r="H231" s="1" t="s">
        <v>811</v>
      </c>
      <c r="I231" s="1" t="s">
        <v>812</v>
      </c>
      <c r="J231" s="2">
        <v>2</v>
      </c>
      <c r="K231" s="3">
        <v>42.347261500000002</v>
      </c>
      <c r="L231" s="3">
        <v>69.629680500000006</v>
      </c>
      <c r="M231" s="1" t="s">
        <v>813</v>
      </c>
      <c r="N231" s="1" t="s">
        <v>814</v>
      </c>
      <c r="O231" s="1" t="s">
        <v>815</v>
      </c>
      <c r="P231" s="1" t="s">
        <v>59</v>
      </c>
      <c r="Q231" s="1" t="s">
        <v>60</v>
      </c>
      <c r="R231" s="1" t="s">
        <v>61</v>
      </c>
      <c r="S231" s="1" t="s">
        <v>816</v>
      </c>
    </row>
    <row r="232" spans="1:19" ht="22.8">
      <c r="A232" s="1" t="s">
        <v>817</v>
      </c>
      <c r="B232" s="1" t="s">
        <v>818</v>
      </c>
      <c r="C232" s="1" t="s">
        <v>818</v>
      </c>
      <c r="D232" s="1" t="s">
        <v>55</v>
      </c>
      <c r="E232" s="1" t="s">
        <v>20</v>
      </c>
      <c r="F232" s="1"/>
      <c r="G232" s="1"/>
      <c r="H232" s="1"/>
      <c r="I232" s="1"/>
      <c r="J232" s="2"/>
      <c r="K232" s="3">
        <v>42.336633300000003</v>
      </c>
      <c r="L232" s="3">
        <v>69.632802999999996</v>
      </c>
      <c r="M232" s="1" t="s">
        <v>819</v>
      </c>
      <c r="N232" s="1"/>
      <c r="O232" s="1" t="s">
        <v>58</v>
      </c>
      <c r="P232" s="1" t="s">
        <v>59</v>
      </c>
      <c r="Q232" s="1" t="s">
        <v>60</v>
      </c>
      <c r="R232" s="1" t="s">
        <v>61</v>
      </c>
      <c r="S232" s="1" t="s">
        <v>66</v>
      </c>
    </row>
    <row r="233" spans="1:19" ht="22.8">
      <c r="A233" s="1" t="s">
        <v>820</v>
      </c>
      <c r="B233" s="1" t="s">
        <v>821</v>
      </c>
      <c r="C233" s="1" t="s">
        <v>821</v>
      </c>
      <c r="D233" s="1" t="s">
        <v>821</v>
      </c>
      <c r="E233" s="1" t="s">
        <v>20</v>
      </c>
      <c r="F233" s="1"/>
      <c r="G233" s="1"/>
      <c r="H233" s="1"/>
      <c r="I233" s="1"/>
      <c r="J233" s="2"/>
      <c r="K233" s="3">
        <v>42.333506399999997</v>
      </c>
      <c r="L233" s="3">
        <v>69.608246300000005</v>
      </c>
      <c r="M233" s="1" t="s">
        <v>822</v>
      </c>
      <c r="N233" s="1"/>
      <c r="O233" s="1" t="s">
        <v>58</v>
      </c>
      <c r="P233" s="1" t="s">
        <v>59</v>
      </c>
      <c r="Q233" s="1" t="s">
        <v>60</v>
      </c>
      <c r="R233" s="1" t="s">
        <v>61</v>
      </c>
      <c r="S233" s="1" t="s">
        <v>66</v>
      </c>
    </row>
    <row r="234" spans="1:19" ht="22.8">
      <c r="A234" s="1" t="s">
        <v>823</v>
      </c>
      <c r="B234" s="1" t="s">
        <v>821</v>
      </c>
      <c r="C234" s="1" t="s">
        <v>821</v>
      </c>
      <c r="D234" s="1" t="s">
        <v>821</v>
      </c>
      <c r="E234" s="1" t="s">
        <v>20</v>
      </c>
      <c r="F234" s="1" t="s">
        <v>824</v>
      </c>
      <c r="G234" s="1"/>
      <c r="H234" s="1"/>
      <c r="I234" s="1"/>
      <c r="J234" s="2"/>
      <c r="K234" s="3">
        <v>42.336661100000001</v>
      </c>
      <c r="L234" s="3">
        <v>69.578855799999999</v>
      </c>
      <c r="M234" s="1" t="s">
        <v>825</v>
      </c>
      <c r="N234" s="1"/>
      <c r="O234" s="1" t="s">
        <v>58</v>
      </c>
      <c r="P234" s="1" t="s">
        <v>59</v>
      </c>
      <c r="Q234" s="1" t="s">
        <v>60</v>
      </c>
      <c r="R234" s="1" t="s">
        <v>61</v>
      </c>
      <c r="S234" s="1" t="s">
        <v>62</v>
      </c>
    </row>
    <row r="235" spans="1:19" ht="22.8">
      <c r="A235" s="1" t="s">
        <v>826</v>
      </c>
      <c r="B235" s="1" t="s">
        <v>821</v>
      </c>
      <c r="C235" s="1" t="s">
        <v>821</v>
      </c>
      <c r="D235" s="1" t="s">
        <v>821</v>
      </c>
      <c r="E235" s="1" t="s">
        <v>20</v>
      </c>
      <c r="F235" s="1"/>
      <c r="G235" s="1"/>
      <c r="H235" s="1"/>
      <c r="I235" s="1"/>
      <c r="J235" s="2"/>
      <c r="K235" s="3">
        <v>42.338507900000003</v>
      </c>
      <c r="L235" s="3">
        <v>69.6373909</v>
      </c>
      <c r="M235" s="1" t="s">
        <v>827</v>
      </c>
      <c r="N235" s="1"/>
      <c r="O235" s="1" t="s">
        <v>58</v>
      </c>
      <c r="P235" s="1" t="s">
        <v>59</v>
      </c>
      <c r="Q235" s="1" t="s">
        <v>60</v>
      </c>
      <c r="R235" s="1" t="s">
        <v>61</v>
      </c>
      <c r="S235" s="1" t="s">
        <v>66</v>
      </c>
    </row>
    <row r="236" spans="1:19" ht="22.8">
      <c r="A236" s="1" t="s">
        <v>828</v>
      </c>
      <c r="B236" s="1" t="s">
        <v>829</v>
      </c>
      <c r="C236" s="1" t="s">
        <v>829</v>
      </c>
      <c r="D236" s="1" t="s">
        <v>55</v>
      </c>
      <c r="E236" s="1" t="s">
        <v>20</v>
      </c>
      <c r="F236" s="1" t="s">
        <v>131</v>
      </c>
      <c r="G236" s="1"/>
      <c r="H236" s="1"/>
      <c r="I236" s="1"/>
      <c r="J236" s="2"/>
      <c r="K236" s="3">
        <v>42.3293423</v>
      </c>
      <c r="L236" s="3">
        <v>69.611465499999994</v>
      </c>
      <c r="M236" s="1" t="s">
        <v>830</v>
      </c>
      <c r="N236" s="1"/>
      <c r="O236" s="1" t="s">
        <v>58</v>
      </c>
      <c r="P236" s="1" t="s">
        <v>59</v>
      </c>
      <c r="Q236" s="1" t="s">
        <v>60</v>
      </c>
      <c r="R236" s="1" t="s">
        <v>61</v>
      </c>
      <c r="S236" s="1" t="s">
        <v>62</v>
      </c>
    </row>
    <row r="237" spans="1:19" ht="22.8">
      <c r="A237" s="1" t="s">
        <v>831</v>
      </c>
      <c r="B237" s="1" t="s">
        <v>832</v>
      </c>
      <c r="C237" s="1" t="s">
        <v>832</v>
      </c>
      <c r="D237" s="1" t="s">
        <v>55</v>
      </c>
      <c r="E237" s="1" t="s">
        <v>20</v>
      </c>
      <c r="F237" s="1" t="s">
        <v>56</v>
      </c>
      <c r="G237" s="1"/>
      <c r="H237" s="1"/>
      <c r="I237" s="1"/>
      <c r="J237" s="2"/>
      <c r="K237" s="3">
        <v>42.340544000000001</v>
      </c>
      <c r="L237" s="3">
        <v>69.638393300000004</v>
      </c>
      <c r="M237" s="1" t="s">
        <v>833</v>
      </c>
      <c r="N237" s="1"/>
      <c r="O237" s="1" t="s">
        <v>58</v>
      </c>
      <c r="P237" s="1" t="s">
        <v>59</v>
      </c>
      <c r="Q237" s="1" t="s">
        <v>60</v>
      </c>
      <c r="R237" s="1" t="s">
        <v>61</v>
      </c>
      <c r="S237" s="1" t="s">
        <v>62</v>
      </c>
    </row>
    <row r="238" spans="1:19" ht="22.8">
      <c r="A238" s="1" t="s">
        <v>834</v>
      </c>
      <c r="B238" s="1" t="s">
        <v>835</v>
      </c>
      <c r="C238" s="1" t="s">
        <v>835</v>
      </c>
      <c r="D238" s="1" t="s">
        <v>55</v>
      </c>
      <c r="E238" s="1" t="s">
        <v>20</v>
      </c>
      <c r="F238" s="1" t="s">
        <v>131</v>
      </c>
      <c r="G238" s="1"/>
      <c r="H238" s="1"/>
      <c r="I238" s="1"/>
      <c r="J238" s="2"/>
      <c r="K238" s="3">
        <v>42.328166899999999</v>
      </c>
      <c r="L238" s="3">
        <v>69.610582699999995</v>
      </c>
      <c r="M238" s="1" t="s">
        <v>836</v>
      </c>
      <c r="N238" s="1"/>
      <c r="O238" s="1" t="s">
        <v>58</v>
      </c>
      <c r="P238" s="1" t="s">
        <v>59</v>
      </c>
      <c r="Q238" s="1" t="s">
        <v>60</v>
      </c>
      <c r="R238" s="1" t="s">
        <v>61</v>
      </c>
      <c r="S238" s="1" t="s">
        <v>62</v>
      </c>
    </row>
    <row r="239" spans="1:19" ht="22.8">
      <c r="A239" s="1" t="s">
        <v>837</v>
      </c>
      <c r="B239" s="1" t="s">
        <v>838</v>
      </c>
      <c r="C239" s="1" t="s">
        <v>838</v>
      </c>
      <c r="D239" s="1" t="s">
        <v>55</v>
      </c>
      <c r="E239" s="1" t="s">
        <v>20</v>
      </c>
      <c r="F239" s="1" t="s">
        <v>805</v>
      </c>
      <c r="G239" s="1"/>
      <c r="H239" s="1"/>
      <c r="I239" s="1"/>
      <c r="J239" s="2"/>
      <c r="K239" s="3">
        <v>42.334460900000003</v>
      </c>
      <c r="L239" s="3">
        <v>69.611143499999997</v>
      </c>
      <c r="M239" s="1" t="s">
        <v>839</v>
      </c>
      <c r="N239" s="1"/>
      <c r="O239" s="1" t="s">
        <v>58</v>
      </c>
      <c r="P239" s="1" t="s">
        <v>59</v>
      </c>
      <c r="Q239" s="1" t="s">
        <v>60</v>
      </c>
      <c r="R239" s="1" t="s">
        <v>61</v>
      </c>
      <c r="S239" s="1" t="s">
        <v>62</v>
      </c>
    </row>
    <row r="240" spans="1:19" ht="22.8">
      <c r="A240" s="1" t="s">
        <v>840</v>
      </c>
      <c r="B240" s="1" t="s">
        <v>841</v>
      </c>
      <c r="C240" s="1" t="s">
        <v>841</v>
      </c>
      <c r="D240" s="1" t="s">
        <v>55</v>
      </c>
      <c r="E240" s="1" t="s">
        <v>20</v>
      </c>
      <c r="F240" s="1"/>
      <c r="G240" s="1"/>
      <c r="H240" s="1"/>
      <c r="I240" s="1"/>
      <c r="J240" s="2"/>
      <c r="K240" s="3">
        <v>42.355818499999998</v>
      </c>
      <c r="L240" s="3">
        <v>69.534219199999995</v>
      </c>
      <c r="M240" s="1" t="s">
        <v>842</v>
      </c>
      <c r="N240" s="1"/>
      <c r="O240" s="1" t="s">
        <v>58</v>
      </c>
      <c r="P240" s="1" t="s">
        <v>59</v>
      </c>
      <c r="Q240" s="1" t="s">
        <v>60</v>
      </c>
      <c r="R240" s="1" t="s">
        <v>61</v>
      </c>
      <c r="S240" s="1" t="s">
        <v>66</v>
      </c>
    </row>
    <row r="241" spans="1:19" ht="22.8">
      <c r="A241" s="1" t="s">
        <v>843</v>
      </c>
      <c r="B241" s="1" t="s">
        <v>844</v>
      </c>
      <c r="C241" s="1" t="s">
        <v>844</v>
      </c>
      <c r="D241" s="1" t="s">
        <v>55</v>
      </c>
      <c r="E241" s="1" t="s">
        <v>20</v>
      </c>
      <c r="F241" s="1" t="s">
        <v>845</v>
      </c>
      <c r="G241" s="1"/>
      <c r="H241" s="1"/>
      <c r="I241" s="1"/>
      <c r="J241" s="2"/>
      <c r="K241" s="3">
        <v>42.351508000000003</v>
      </c>
      <c r="L241" s="3">
        <v>69.582318299999997</v>
      </c>
      <c r="M241" s="1" t="s">
        <v>846</v>
      </c>
      <c r="N241" s="1"/>
      <c r="O241" s="1" t="s">
        <v>58</v>
      </c>
      <c r="P241" s="1" t="s">
        <v>59</v>
      </c>
      <c r="Q241" s="1" t="s">
        <v>60</v>
      </c>
      <c r="R241" s="1" t="s">
        <v>61</v>
      </c>
      <c r="S241" s="1" t="s">
        <v>62</v>
      </c>
    </row>
    <row r="242" spans="1:19" ht="22.8">
      <c r="A242" s="1" t="s">
        <v>847</v>
      </c>
      <c r="B242" s="1" t="s">
        <v>848</v>
      </c>
      <c r="C242" s="1" t="s">
        <v>848</v>
      </c>
      <c r="D242" s="1" t="s">
        <v>55</v>
      </c>
      <c r="E242" s="1" t="s">
        <v>20</v>
      </c>
      <c r="F242" s="1" t="s">
        <v>805</v>
      </c>
      <c r="G242" s="1"/>
      <c r="H242" s="1"/>
      <c r="I242" s="1"/>
      <c r="J242" s="2"/>
      <c r="K242" s="3">
        <v>42.339941400000001</v>
      </c>
      <c r="L242" s="3">
        <v>69.613445900000002</v>
      </c>
      <c r="M242" s="1" t="s">
        <v>849</v>
      </c>
      <c r="N242" s="1"/>
      <c r="O242" s="1" t="s">
        <v>58</v>
      </c>
      <c r="P242" s="1" t="s">
        <v>59</v>
      </c>
      <c r="Q242" s="1" t="s">
        <v>60</v>
      </c>
      <c r="R242" s="1" t="s">
        <v>61</v>
      </c>
      <c r="S242" s="1" t="s">
        <v>62</v>
      </c>
    </row>
    <row r="243" spans="1:19" ht="22.8">
      <c r="A243" s="1" t="s">
        <v>850</v>
      </c>
      <c r="B243" s="1" t="s">
        <v>851</v>
      </c>
      <c r="C243" s="1" t="s">
        <v>851</v>
      </c>
      <c r="D243" s="1" t="s">
        <v>55</v>
      </c>
      <c r="E243" s="1" t="s">
        <v>20</v>
      </c>
      <c r="F243" s="1"/>
      <c r="G243" s="1"/>
      <c r="H243" s="1"/>
      <c r="I243" s="1"/>
      <c r="J243" s="2"/>
      <c r="K243" s="3">
        <v>42.343853000000003</v>
      </c>
      <c r="L243" s="3">
        <v>69.621183700000003</v>
      </c>
      <c r="M243" s="1" t="s">
        <v>852</v>
      </c>
      <c r="N243" s="1"/>
      <c r="O243" s="1" t="s">
        <v>58</v>
      </c>
      <c r="P243" s="1" t="s">
        <v>59</v>
      </c>
      <c r="Q243" s="1" t="s">
        <v>60</v>
      </c>
      <c r="R243" s="1" t="s">
        <v>61</v>
      </c>
      <c r="S243" s="1" t="s">
        <v>66</v>
      </c>
    </row>
    <row r="244" spans="1:19" ht="22.8">
      <c r="A244" s="1" t="s">
        <v>853</v>
      </c>
      <c r="B244" s="1" t="s">
        <v>854</v>
      </c>
      <c r="C244" s="1" t="s">
        <v>854</v>
      </c>
      <c r="D244" s="1" t="s">
        <v>55</v>
      </c>
      <c r="E244" s="1" t="s">
        <v>20</v>
      </c>
      <c r="F244" s="1"/>
      <c r="G244" s="1"/>
      <c r="H244" s="1"/>
      <c r="I244" s="1"/>
      <c r="J244" s="2"/>
      <c r="K244" s="3">
        <v>42.312207899999997</v>
      </c>
      <c r="L244" s="3">
        <v>69.648880199999994</v>
      </c>
      <c r="M244" s="1" t="s">
        <v>855</v>
      </c>
      <c r="N244" s="1"/>
      <c r="O244" s="1" t="s">
        <v>58</v>
      </c>
      <c r="P244" s="1" t="s">
        <v>59</v>
      </c>
      <c r="Q244" s="1" t="s">
        <v>60</v>
      </c>
      <c r="R244" s="1" t="s">
        <v>61</v>
      </c>
      <c r="S244" s="1" t="s">
        <v>66</v>
      </c>
    </row>
    <row r="245" spans="1:19" ht="22.8">
      <c r="A245" s="1" t="s">
        <v>856</v>
      </c>
      <c r="B245" s="1" t="s">
        <v>857</v>
      </c>
      <c r="C245" s="1" t="s">
        <v>857</v>
      </c>
      <c r="D245" s="1" t="s">
        <v>55</v>
      </c>
      <c r="E245" s="1" t="s">
        <v>20</v>
      </c>
      <c r="F245" s="1" t="s">
        <v>858</v>
      </c>
      <c r="G245" s="1"/>
      <c r="H245" s="1"/>
      <c r="I245" s="1"/>
      <c r="J245" s="2"/>
      <c r="K245" s="3">
        <v>42.330189099999998</v>
      </c>
      <c r="L245" s="3">
        <v>69.611529700000006</v>
      </c>
      <c r="M245" s="1" t="s">
        <v>859</v>
      </c>
      <c r="N245" s="1"/>
      <c r="O245" s="1" t="s">
        <v>58</v>
      </c>
      <c r="P245" s="1" t="s">
        <v>59</v>
      </c>
      <c r="Q245" s="1" t="s">
        <v>60</v>
      </c>
      <c r="R245" s="1" t="s">
        <v>61</v>
      </c>
      <c r="S245" s="1" t="s">
        <v>62</v>
      </c>
    </row>
    <row r="246" spans="1:19" ht="22.8">
      <c r="A246" s="1" t="s">
        <v>860</v>
      </c>
      <c r="B246" s="1" t="s">
        <v>861</v>
      </c>
      <c r="C246" s="1" t="s">
        <v>861</v>
      </c>
      <c r="D246" s="1" t="s">
        <v>55</v>
      </c>
      <c r="E246" s="1" t="s">
        <v>20</v>
      </c>
      <c r="F246" s="1"/>
      <c r="G246" s="1"/>
      <c r="H246" s="1"/>
      <c r="I246" s="1"/>
      <c r="J246" s="2"/>
      <c r="K246" s="3">
        <v>42.186839499999998</v>
      </c>
      <c r="L246" s="3">
        <v>69.529158199999998</v>
      </c>
      <c r="M246" s="1" t="s">
        <v>862</v>
      </c>
      <c r="N246" s="1"/>
      <c r="O246" s="1" t="s">
        <v>58</v>
      </c>
      <c r="P246" s="1" t="s">
        <v>59</v>
      </c>
      <c r="Q246" s="1" t="s">
        <v>863</v>
      </c>
      <c r="R246" s="1" t="s">
        <v>61</v>
      </c>
      <c r="S246" s="1" t="s">
        <v>864</v>
      </c>
    </row>
    <row r="247" spans="1:19" ht="22.8">
      <c r="A247" s="1" t="s">
        <v>865</v>
      </c>
      <c r="B247" s="1" t="s">
        <v>861</v>
      </c>
      <c r="C247" s="1" t="s">
        <v>861</v>
      </c>
      <c r="D247" s="1" t="s">
        <v>55</v>
      </c>
      <c r="E247" s="1" t="s">
        <v>20</v>
      </c>
      <c r="F247" s="1"/>
      <c r="G247" s="1"/>
      <c r="H247" s="1"/>
      <c r="I247" s="1"/>
      <c r="J247" s="2"/>
      <c r="K247" s="3">
        <v>42.189664100000002</v>
      </c>
      <c r="L247" s="3">
        <v>69.526872499999996</v>
      </c>
      <c r="M247" s="1" t="s">
        <v>866</v>
      </c>
      <c r="N247" s="1"/>
      <c r="O247" s="1" t="s">
        <v>58</v>
      </c>
      <c r="P247" s="1" t="s">
        <v>59</v>
      </c>
      <c r="Q247" s="1" t="s">
        <v>863</v>
      </c>
      <c r="R247" s="1" t="s">
        <v>61</v>
      </c>
      <c r="S247" s="1" t="s">
        <v>864</v>
      </c>
    </row>
    <row r="248" spans="1:19" ht="22.8">
      <c r="A248" s="1" t="s">
        <v>867</v>
      </c>
      <c r="B248" s="1" t="s">
        <v>861</v>
      </c>
      <c r="C248" s="1" t="s">
        <v>861</v>
      </c>
      <c r="D248" s="1" t="s">
        <v>55</v>
      </c>
      <c r="E248" s="1" t="s">
        <v>20</v>
      </c>
      <c r="F248" s="1"/>
      <c r="G248" s="1"/>
      <c r="H248" s="1"/>
      <c r="I248" s="1"/>
      <c r="J248" s="2"/>
      <c r="K248" s="3">
        <v>42.217329900000003</v>
      </c>
      <c r="L248" s="3">
        <v>69.802612699999997</v>
      </c>
      <c r="M248" s="1" t="s">
        <v>868</v>
      </c>
      <c r="N248" s="1"/>
      <c r="O248" s="1" t="s">
        <v>58</v>
      </c>
      <c r="P248" s="1" t="s">
        <v>59</v>
      </c>
      <c r="Q248" s="1" t="s">
        <v>863</v>
      </c>
      <c r="R248" s="1" t="s">
        <v>61</v>
      </c>
      <c r="S248" s="1" t="s">
        <v>864</v>
      </c>
    </row>
    <row r="249" spans="1:19" ht="22.8">
      <c r="A249" s="1" t="s">
        <v>869</v>
      </c>
      <c r="B249" s="1" t="s">
        <v>861</v>
      </c>
      <c r="C249" s="1" t="s">
        <v>861</v>
      </c>
      <c r="D249" s="1" t="s">
        <v>55</v>
      </c>
      <c r="E249" s="1" t="s">
        <v>20</v>
      </c>
      <c r="F249" s="1"/>
      <c r="G249" s="1"/>
      <c r="H249" s="1"/>
      <c r="I249" s="1"/>
      <c r="J249" s="2"/>
      <c r="K249" s="3">
        <v>42.249711300000001</v>
      </c>
      <c r="L249" s="3">
        <v>69.542203799999996</v>
      </c>
      <c r="M249" s="1" t="s">
        <v>870</v>
      </c>
      <c r="N249" s="1"/>
      <c r="O249" s="1" t="s">
        <v>58</v>
      </c>
      <c r="P249" s="1" t="s">
        <v>59</v>
      </c>
      <c r="Q249" s="1" t="s">
        <v>863</v>
      </c>
      <c r="R249" s="1" t="s">
        <v>61</v>
      </c>
      <c r="S249" s="1" t="s">
        <v>864</v>
      </c>
    </row>
    <row r="250" spans="1:19" ht="22.8">
      <c r="A250" s="1" t="s">
        <v>871</v>
      </c>
      <c r="B250" s="1" t="s">
        <v>861</v>
      </c>
      <c r="C250" s="1" t="s">
        <v>861</v>
      </c>
      <c r="D250" s="1" t="s">
        <v>55</v>
      </c>
      <c r="E250" s="1" t="s">
        <v>20</v>
      </c>
      <c r="F250" s="1"/>
      <c r="G250" s="1"/>
      <c r="H250" s="1"/>
      <c r="I250" s="1"/>
      <c r="J250" s="2"/>
      <c r="K250" s="3">
        <v>42.276619400000001</v>
      </c>
      <c r="L250" s="3">
        <v>69.569464400000001</v>
      </c>
      <c r="M250" s="1" t="s">
        <v>872</v>
      </c>
      <c r="N250" s="1"/>
      <c r="O250" s="1" t="s">
        <v>58</v>
      </c>
      <c r="P250" s="1" t="s">
        <v>59</v>
      </c>
      <c r="Q250" s="1" t="s">
        <v>863</v>
      </c>
      <c r="R250" s="1" t="s">
        <v>61</v>
      </c>
      <c r="S250" s="1" t="s">
        <v>864</v>
      </c>
    </row>
    <row r="251" spans="1:19" ht="22.8">
      <c r="A251" s="1" t="s">
        <v>873</v>
      </c>
      <c r="B251" s="1" t="s">
        <v>861</v>
      </c>
      <c r="C251" s="1" t="s">
        <v>861</v>
      </c>
      <c r="D251" s="1" t="s">
        <v>55</v>
      </c>
      <c r="E251" s="1" t="s">
        <v>20</v>
      </c>
      <c r="F251" s="1"/>
      <c r="G251" s="1"/>
      <c r="H251" s="1"/>
      <c r="I251" s="1"/>
      <c r="J251" s="2"/>
      <c r="K251" s="3">
        <v>42.289038099999999</v>
      </c>
      <c r="L251" s="3">
        <v>69.620783000000003</v>
      </c>
      <c r="M251" s="1" t="s">
        <v>874</v>
      </c>
      <c r="N251" s="1"/>
      <c r="O251" s="1" t="s">
        <v>58</v>
      </c>
      <c r="P251" s="1" t="s">
        <v>59</v>
      </c>
      <c r="Q251" s="1" t="s">
        <v>863</v>
      </c>
      <c r="R251" s="1" t="s">
        <v>61</v>
      </c>
      <c r="S251" s="1" t="s">
        <v>864</v>
      </c>
    </row>
    <row r="252" spans="1:19" ht="22.8">
      <c r="A252" s="1" t="s">
        <v>875</v>
      </c>
      <c r="B252" s="1" t="s">
        <v>861</v>
      </c>
      <c r="C252" s="1" t="s">
        <v>861</v>
      </c>
      <c r="D252" s="1" t="s">
        <v>55</v>
      </c>
      <c r="E252" s="1" t="s">
        <v>20</v>
      </c>
      <c r="F252" s="1"/>
      <c r="G252" s="1"/>
      <c r="H252" s="1"/>
      <c r="I252" s="1"/>
      <c r="J252" s="2"/>
      <c r="K252" s="3">
        <v>42.302932599999998</v>
      </c>
      <c r="L252" s="3">
        <v>69.757008200000001</v>
      </c>
      <c r="M252" s="1" t="s">
        <v>876</v>
      </c>
      <c r="N252" s="1"/>
      <c r="O252" s="1" t="s">
        <v>58</v>
      </c>
      <c r="P252" s="1" t="s">
        <v>59</v>
      </c>
      <c r="Q252" s="1" t="s">
        <v>863</v>
      </c>
      <c r="R252" s="1" t="s">
        <v>61</v>
      </c>
      <c r="S252" s="1" t="s">
        <v>864</v>
      </c>
    </row>
    <row r="253" spans="1:19" ht="22.8">
      <c r="A253" s="1" t="s">
        <v>877</v>
      </c>
      <c r="B253" s="1" t="s">
        <v>861</v>
      </c>
      <c r="C253" s="1" t="s">
        <v>861</v>
      </c>
      <c r="D253" s="1" t="s">
        <v>55</v>
      </c>
      <c r="E253" s="1" t="s">
        <v>20</v>
      </c>
      <c r="F253" s="1"/>
      <c r="G253" s="1"/>
      <c r="H253" s="1"/>
      <c r="I253" s="1"/>
      <c r="J253" s="2"/>
      <c r="K253" s="3">
        <v>42.3049933</v>
      </c>
      <c r="L253" s="3">
        <v>69.582147899999995</v>
      </c>
      <c r="M253" s="1" t="s">
        <v>878</v>
      </c>
      <c r="N253" s="1"/>
      <c r="O253" s="1" t="s">
        <v>58</v>
      </c>
      <c r="P253" s="1" t="s">
        <v>59</v>
      </c>
      <c r="Q253" s="1" t="s">
        <v>863</v>
      </c>
      <c r="R253" s="1" t="s">
        <v>61</v>
      </c>
      <c r="S253" s="1" t="s">
        <v>864</v>
      </c>
    </row>
    <row r="254" spans="1:19" ht="22.8">
      <c r="A254" s="1" t="s">
        <v>879</v>
      </c>
      <c r="B254" s="1" t="s">
        <v>861</v>
      </c>
      <c r="C254" s="1" t="s">
        <v>861</v>
      </c>
      <c r="D254" s="1" t="s">
        <v>55</v>
      </c>
      <c r="E254" s="1" t="s">
        <v>20</v>
      </c>
      <c r="F254" s="1"/>
      <c r="G254" s="1"/>
      <c r="H254" s="1"/>
      <c r="I254" s="1"/>
      <c r="J254" s="2"/>
      <c r="K254" s="3">
        <v>42.305221400000001</v>
      </c>
      <c r="L254" s="3">
        <v>69.582255200000006</v>
      </c>
      <c r="M254" s="1" t="s">
        <v>880</v>
      </c>
      <c r="N254" s="1"/>
      <c r="O254" s="1" t="s">
        <v>58</v>
      </c>
      <c r="P254" s="1" t="s">
        <v>59</v>
      </c>
      <c r="Q254" s="1" t="s">
        <v>863</v>
      </c>
      <c r="R254" s="1" t="s">
        <v>61</v>
      </c>
      <c r="S254" s="1" t="s">
        <v>864</v>
      </c>
    </row>
    <row r="255" spans="1:19" ht="22.8">
      <c r="A255" s="1" t="s">
        <v>881</v>
      </c>
      <c r="B255" s="1" t="s">
        <v>861</v>
      </c>
      <c r="C255" s="1" t="s">
        <v>861</v>
      </c>
      <c r="D255" s="1" t="s">
        <v>55</v>
      </c>
      <c r="E255" s="1" t="s">
        <v>20</v>
      </c>
      <c r="F255" s="1" t="s">
        <v>882</v>
      </c>
      <c r="G255" s="1"/>
      <c r="H255" s="1"/>
      <c r="I255" s="1"/>
      <c r="J255" s="2"/>
      <c r="K255" s="3">
        <v>42.3057132</v>
      </c>
      <c r="L255" s="3">
        <v>69.575063099999994</v>
      </c>
      <c r="M255" s="1" t="s">
        <v>883</v>
      </c>
      <c r="N255" s="1"/>
      <c r="O255" s="1" t="s">
        <v>58</v>
      </c>
      <c r="P255" s="1" t="s">
        <v>59</v>
      </c>
      <c r="Q255" s="1" t="s">
        <v>863</v>
      </c>
      <c r="R255" s="1" t="s">
        <v>61</v>
      </c>
      <c r="S255" s="1" t="s">
        <v>864</v>
      </c>
    </row>
    <row r="256" spans="1:19" ht="22.8">
      <c r="A256" s="1" t="s">
        <v>884</v>
      </c>
      <c r="B256" s="1" t="s">
        <v>861</v>
      </c>
      <c r="C256" s="1" t="s">
        <v>861</v>
      </c>
      <c r="D256" s="1" t="s">
        <v>55</v>
      </c>
      <c r="E256" s="1" t="s">
        <v>20</v>
      </c>
      <c r="F256" s="1"/>
      <c r="G256" s="1"/>
      <c r="H256" s="1"/>
      <c r="I256" s="1"/>
      <c r="J256" s="2"/>
      <c r="K256" s="3">
        <v>42.310898999999999</v>
      </c>
      <c r="L256" s="3">
        <v>69.561983799999993</v>
      </c>
      <c r="M256" s="1" t="s">
        <v>885</v>
      </c>
      <c r="N256" s="1"/>
      <c r="O256" s="1" t="s">
        <v>58</v>
      </c>
      <c r="P256" s="1" t="s">
        <v>59</v>
      </c>
      <c r="Q256" s="1" t="s">
        <v>863</v>
      </c>
      <c r="R256" s="1" t="s">
        <v>61</v>
      </c>
      <c r="S256" s="1" t="s">
        <v>864</v>
      </c>
    </row>
    <row r="257" spans="1:19" ht="22.8">
      <c r="A257" s="1" t="s">
        <v>886</v>
      </c>
      <c r="B257" s="1" t="s">
        <v>861</v>
      </c>
      <c r="C257" s="1" t="s">
        <v>861</v>
      </c>
      <c r="D257" s="1" t="s">
        <v>55</v>
      </c>
      <c r="E257" s="1" t="s">
        <v>20</v>
      </c>
      <c r="F257" s="1"/>
      <c r="G257" s="1"/>
      <c r="H257" s="1"/>
      <c r="I257" s="1"/>
      <c r="J257" s="2"/>
      <c r="K257" s="3">
        <v>42.311641199999997</v>
      </c>
      <c r="L257" s="3">
        <v>69.5738542</v>
      </c>
      <c r="M257" s="1" t="s">
        <v>887</v>
      </c>
      <c r="N257" s="1"/>
      <c r="O257" s="1" t="s">
        <v>58</v>
      </c>
      <c r="P257" s="1" t="s">
        <v>59</v>
      </c>
      <c r="Q257" s="1" t="s">
        <v>863</v>
      </c>
      <c r="R257" s="1" t="s">
        <v>61</v>
      </c>
      <c r="S257" s="1" t="s">
        <v>864</v>
      </c>
    </row>
    <row r="258" spans="1:19" ht="22.8">
      <c r="A258" s="1" t="s">
        <v>888</v>
      </c>
      <c r="B258" s="1" t="s">
        <v>861</v>
      </c>
      <c r="C258" s="1" t="s">
        <v>861</v>
      </c>
      <c r="D258" s="1" t="s">
        <v>55</v>
      </c>
      <c r="E258" s="1" t="s">
        <v>20</v>
      </c>
      <c r="F258" s="1" t="s">
        <v>889</v>
      </c>
      <c r="G258" s="1"/>
      <c r="H258" s="1"/>
      <c r="I258" s="1"/>
      <c r="J258" s="2"/>
      <c r="K258" s="3">
        <v>42.312336799999997</v>
      </c>
      <c r="L258" s="3">
        <v>69.565309999999997</v>
      </c>
      <c r="M258" s="1" t="s">
        <v>890</v>
      </c>
      <c r="N258" s="1"/>
      <c r="O258" s="1" t="s">
        <v>58</v>
      </c>
      <c r="P258" s="1" t="s">
        <v>59</v>
      </c>
      <c r="Q258" s="1" t="s">
        <v>863</v>
      </c>
      <c r="R258" s="1" t="s">
        <v>61</v>
      </c>
      <c r="S258" s="1" t="s">
        <v>864</v>
      </c>
    </row>
    <row r="259" spans="1:19" ht="22.8">
      <c r="A259" s="1" t="s">
        <v>891</v>
      </c>
      <c r="B259" s="1" t="s">
        <v>861</v>
      </c>
      <c r="C259" s="1" t="s">
        <v>861</v>
      </c>
      <c r="D259" s="1" t="s">
        <v>55</v>
      </c>
      <c r="E259" s="1" t="s">
        <v>20</v>
      </c>
      <c r="F259" s="1" t="s">
        <v>892</v>
      </c>
      <c r="G259" s="1"/>
      <c r="H259" s="1"/>
      <c r="I259" s="1"/>
      <c r="J259" s="2"/>
      <c r="K259" s="3">
        <v>42.312348299999996</v>
      </c>
      <c r="L259" s="3">
        <v>69.569405200000006</v>
      </c>
      <c r="M259" s="1" t="s">
        <v>893</v>
      </c>
      <c r="N259" s="1"/>
      <c r="O259" s="1" t="s">
        <v>58</v>
      </c>
      <c r="P259" s="1" t="s">
        <v>59</v>
      </c>
      <c r="Q259" s="1" t="s">
        <v>863</v>
      </c>
      <c r="R259" s="1" t="s">
        <v>61</v>
      </c>
      <c r="S259" s="1" t="s">
        <v>864</v>
      </c>
    </row>
    <row r="260" spans="1:19" ht="22.8">
      <c r="A260" s="1" t="s">
        <v>894</v>
      </c>
      <c r="B260" s="1" t="s">
        <v>861</v>
      </c>
      <c r="C260" s="1" t="s">
        <v>861</v>
      </c>
      <c r="D260" s="1" t="s">
        <v>55</v>
      </c>
      <c r="E260" s="1" t="s">
        <v>20</v>
      </c>
      <c r="F260" s="1" t="s">
        <v>892</v>
      </c>
      <c r="G260" s="1"/>
      <c r="H260" s="1"/>
      <c r="I260" s="1"/>
      <c r="J260" s="2"/>
      <c r="K260" s="3">
        <v>42.312455100000001</v>
      </c>
      <c r="L260" s="3">
        <v>69.569359199999994</v>
      </c>
      <c r="M260" s="1" t="s">
        <v>895</v>
      </c>
      <c r="N260" s="1"/>
      <c r="O260" s="1" t="s">
        <v>58</v>
      </c>
      <c r="P260" s="1" t="s">
        <v>59</v>
      </c>
      <c r="Q260" s="1" t="s">
        <v>863</v>
      </c>
      <c r="R260" s="1" t="s">
        <v>61</v>
      </c>
      <c r="S260" s="1" t="s">
        <v>864</v>
      </c>
    </row>
    <row r="261" spans="1:19" ht="22.8">
      <c r="A261" s="1" t="s">
        <v>896</v>
      </c>
      <c r="B261" s="1" t="s">
        <v>861</v>
      </c>
      <c r="C261" s="1" t="s">
        <v>861</v>
      </c>
      <c r="D261" s="1" t="s">
        <v>55</v>
      </c>
      <c r="E261" s="1" t="s">
        <v>20</v>
      </c>
      <c r="F261" s="1"/>
      <c r="G261" s="1"/>
      <c r="H261" s="1"/>
      <c r="I261" s="1"/>
      <c r="J261" s="2"/>
      <c r="K261" s="3">
        <v>42.312646399999998</v>
      </c>
      <c r="L261" s="3">
        <v>69.591497399999994</v>
      </c>
      <c r="M261" s="1" t="s">
        <v>897</v>
      </c>
      <c r="N261" s="1"/>
      <c r="O261" s="1" t="s">
        <v>58</v>
      </c>
      <c r="P261" s="1" t="s">
        <v>59</v>
      </c>
      <c r="Q261" s="1" t="s">
        <v>863</v>
      </c>
      <c r="R261" s="1" t="s">
        <v>61</v>
      </c>
      <c r="S261" s="1" t="s">
        <v>864</v>
      </c>
    </row>
    <row r="262" spans="1:19" ht="22.8">
      <c r="A262" s="1" t="s">
        <v>898</v>
      </c>
      <c r="B262" s="1" t="s">
        <v>861</v>
      </c>
      <c r="C262" s="1" t="s">
        <v>861</v>
      </c>
      <c r="D262" s="1" t="s">
        <v>55</v>
      </c>
      <c r="E262" s="1" t="s">
        <v>20</v>
      </c>
      <c r="F262" s="1" t="s">
        <v>750</v>
      </c>
      <c r="G262" s="1"/>
      <c r="H262" s="1"/>
      <c r="I262" s="1"/>
      <c r="J262" s="2"/>
      <c r="K262" s="3">
        <v>42.316523099999998</v>
      </c>
      <c r="L262" s="3">
        <v>69.769180300000002</v>
      </c>
      <c r="M262" s="1" t="s">
        <v>899</v>
      </c>
      <c r="N262" s="1"/>
      <c r="O262" s="1" t="s">
        <v>58</v>
      </c>
      <c r="P262" s="1" t="s">
        <v>59</v>
      </c>
      <c r="Q262" s="1" t="s">
        <v>863</v>
      </c>
      <c r="R262" s="1" t="s">
        <v>61</v>
      </c>
      <c r="S262" s="1" t="s">
        <v>864</v>
      </c>
    </row>
    <row r="263" spans="1:19" ht="22.8">
      <c r="A263" s="1" t="s">
        <v>900</v>
      </c>
      <c r="B263" s="1" t="s">
        <v>861</v>
      </c>
      <c r="C263" s="1" t="s">
        <v>861</v>
      </c>
      <c r="D263" s="1" t="s">
        <v>55</v>
      </c>
      <c r="E263" s="1" t="s">
        <v>20</v>
      </c>
      <c r="F263" s="1" t="s">
        <v>573</v>
      </c>
      <c r="G263" s="1"/>
      <c r="H263" s="1"/>
      <c r="I263" s="1"/>
      <c r="J263" s="2"/>
      <c r="K263" s="3">
        <v>42.317173400000001</v>
      </c>
      <c r="L263" s="3">
        <v>69.555270100000001</v>
      </c>
      <c r="M263" s="1" t="s">
        <v>901</v>
      </c>
      <c r="N263" s="1"/>
      <c r="O263" s="1" t="s">
        <v>58</v>
      </c>
      <c r="P263" s="1" t="s">
        <v>59</v>
      </c>
      <c r="Q263" s="1" t="s">
        <v>863</v>
      </c>
      <c r="R263" s="1" t="s">
        <v>61</v>
      </c>
      <c r="S263" s="1" t="s">
        <v>864</v>
      </c>
    </row>
    <row r="264" spans="1:19" ht="22.8">
      <c r="A264" s="1" t="s">
        <v>902</v>
      </c>
      <c r="B264" s="1" t="s">
        <v>861</v>
      </c>
      <c r="C264" s="1" t="s">
        <v>861</v>
      </c>
      <c r="D264" s="1" t="s">
        <v>55</v>
      </c>
      <c r="E264" s="1" t="s">
        <v>20</v>
      </c>
      <c r="F264" s="1"/>
      <c r="G264" s="1"/>
      <c r="H264" s="1"/>
      <c r="I264" s="1"/>
      <c r="J264" s="2"/>
      <c r="K264" s="3">
        <v>42.317678700000002</v>
      </c>
      <c r="L264" s="3">
        <v>69.585518300000004</v>
      </c>
      <c r="M264" s="1" t="s">
        <v>903</v>
      </c>
      <c r="N264" s="1"/>
      <c r="O264" s="1" t="s">
        <v>58</v>
      </c>
      <c r="P264" s="1" t="s">
        <v>59</v>
      </c>
      <c r="Q264" s="1" t="s">
        <v>863</v>
      </c>
      <c r="R264" s="1" t="s">
        <v>61</v>
      </c>
      <c r="S264" s="1" t="s">
        <v>864</v>
      </c>
    </row>
    <row r="265" spans="1:19" ht="22.8">
      <c r="A265" s="1" t="s">
        <v>904</v>
      </c>
      <c r="B265" s="1" t="s">
        <v>861</v>
      </c>
      <c r="C265" s="1" t="s">
        <v>861</v>
      </c>
      <c r="D265" s="1" t="s">
        <v>55</v>
      </c>
      <c r="E265" s="1" t="s">
        <v>20</v>
      </c>
      <c r="F265" s="1" t="s">
        <v>905</v>
      </c>
      <c r="G265" s="1"/>
      <c r="H265" s="1"/>
      <c r="I265" s="1"/>
      <c r="J265" s="2"/>
      <c r="K265" s="3">
        <v>42.319444599999997</v>
      </c>
      <c r="L265" s="3">
        <v>69.551417000000001</v>
      </c>
      <c r="M265" s="1" t="s">
        <v>906</v>
      </c>
      <c r="N265" s="1"/>
      <c r="O265" s="1" t="s">
        <v>58</v>
      </c>
      <c r="P265" s="1" t="s">
        <v>59</v>
      </c>
      <c r="Q265" s="1" t="s">
        <v>863</v>
      </c>
      <c r="R265" s="1" t="s">
        <v>61</v>
      </c>
      <c r="S265" s="1" t="s">
        <v>864</v>
      </c>
    </row>
    <row r="266" spans="1:19" ht="22.8">
      <c r="A266" s="1" t="s">
        <v>907</v>
      </c>
      <c r="B266" s="1" t="s">
        <v>861</v>
      </c>
      <c r="C266" s="1" t="s">
        <v>861</v>
      </c>
      <c r="D266" s="1" t="s">
        <v>55</v>
      </c>
      <c r="E266" s="1" t="s">
        <v>20</v>
      </c>
      <c r="F266" s="1"/>
      <c r="G266" s="1"/>
      <c r="H266" s="1"/>
      <c r="I266" s="1"/>
      <c r="J266" s="2"/>
      <c r="K266" s="3">
        <v>42.323427899999999</v>
      </c>
      <c r="L266" s="3">
        <v>69.582678700000002</v>
      </c>
      <c r="M266" s="1" t="s">
        <v>908</v>
      </c>
      <c r="N266" s="1"/>
      <c r="O266" s="1" t="s">
        <v>58</v>
      </c>
      <c r="P266" s="1" t="s">
        <v>59</v>
      </c>
      <c r="Q266" s="1" t="s">
        <v>863</v>
      </c>
      <c r="R266" s="1" t="s">
        <v>61</v>
      </c>
      <c r="S266" s="1" t="s">
        <v>864</v>
      </c>
    </row>
    <row r="267" spans="1:19" ht="22.8">
      <c r="A267" s="1" t="s">
        <v>909</v>
      </c>
      <c r="B267" s="1" t="s">
        <v>861</v>
      </c>
      <c r="C267" s="1" t="s">
        <v>861</v>
      </c>
      <c r="D267" s="1" t="s">
        <v>55</v>
      </c>
      <c r="E267" s="1" t="s">
        <v>20</v>
      </c>
      <c r="F267" s="1" t="s">
        <v>131</v>
      </c>
      <c r="G267" s="1"/>
      <c r="H267" s="1"/>
      <c r="I267" s="1"/>
      <c r="J267" s="2"/>
      <c r="K267" s="3">
        <v>42.323489000000002</v>
      </c>
      <c r="L267" s="3">
        <v>69.608513500000001</v>
      </c>
      <c r="M267" s="1" t="s">
        <v>910</v>
      </c>
      <c r="N267" s="1"/>
      <c r="O267" s="1" t="s">
        <v>58</v>
      </c>
      <c r="P267" s="1" t="s">
        <v>59</v>
      </c>
      <c r="Q267" s="1" t="s">
        <v>863</v>
      </c>
      <c r="R267" s="1" t="s">
        <v>61</v>
      </c>
      <c r="S267" s="1" t="s">
        <v>864</v>
      </c>
    </row>
    <row r="268" spans="1:19" ht="22.8">
      <c r="A268" s="1" t="s">
        <v>911</v>
      </c>
      <c r="B268" s="1" t="s">
        <v>861</v>
      </c>
      <c r="C268" s="1" t="s">
        <v>861</v>
      </c>
      <c r="D268" s="1" t="s">
        <v>55</v>
      </c>
      <c r="E268" s="1" t="s">
        <v>20</v>
      </c>
      <c r="F268" s="1"/>
      <c r="G268" s="1"/>
      <c r="H268" s="1"/>
      <c r="I268" s="1"/>
      <c r="J268" s="2"/>
      <c r="K268" s="3">
        <v>42.323938599999998</v>
      </c>
      <c r="L268" s="3">
        <v>69.642486700000006</v>
      </c>
      <c r="M268" s="1" t="s">
        <v>912</v>
      </c>
      <c r="N268" s="1"/>
      <c r="O268" s="1" t="s">
        <v>58</v>
      </c>
      <c r="P268" s="1" t="s">
        <v>59</v>
      </c>
      <c r="Q268" s="1" t="s">
        <v>863</v>
      </c>
      <c r="R268" s="1" t="s">
        <v>61</v>
      </c>
      <c r="S268" s="1" t="s">
        <v>864</v>
      </c>
    </row>
    <row r="269" spans="1:19" ht="22.8">
      <c r="A269" s="1" t="s">
        <v>913</v>
      </c>
      <c r="B269" s="1" t="s">
        <v>861</v>
      </c>
      <c r="C269" s="1" t="s">
        <v>861</v>
      </c>
      <c r="D269" s="1" t="s">
        <v>55</v>
      </c>
      <c r="E269" s="1" t="s">
        <v>20</v>
      </c>
      <c r="F269" s="1"/>
      <c r="G269" s="1"/>
      <c r="H269" s="1"/>
      <c r="I269" s="1"/>
      <c r="J269" s="2"/>
      <c r="K269" s="3">
        <v>42.324425099999999</v>
      </c>
      <c r="L269" s="3">
        <v>69.579371600000002</v>
      </c>
      <c r="M269" s="1" t="s">
        <v>914</v>
      </c>
      <c r="N269" s="1"/>
      <c r="O269" s="1" t="s">
        <v>58</v>
      </c>
      <c r="P269" s="1" t="s">
        <v>59</v>
      </c>
      <c r="Q269" s="1" t="s">
        <v>863</v>
      </c>
      <c r="R269" s="1" t="s">
        <v>61</v>
      </c>
      <c r="S269" s="1" t="s">
        <v>864</v>
      </c>
    </row>
    <row r="270" spans="1:19" ht="22.8">
      <c r="A270" s="1" t="s">
        <v>915</v>
      </c>
      <c r="B270" s="1" t="s">
        <v>861</v>
      </c>
      <c r="C270" s="1" t="s">
        <v>861</v>
      </c>
      <c r="D270" s="1" t="s">
        <v>55</v>
      </c>
      <c r="E270" s="1" t="s">
        <v>20</v>
      </c>
      <c r="F270" s="1"/>
      <c r="G270" s="1"/>
      <c r="H270" s="1"/>
      <c r="I270" s="1"/>
      <c r="J270" s="2"/>
      <c r="K270" s="3">
        <v>42.325048799999998</v>
      </c>
      <c r="L270" s="3">
        <v>69.581129799999999</v>
      </c>
      <c r="M270" s="1" t="s">
        <v>916</v>
      </c>
      <c r="N270" s="1"/>
      <c r="O270" s="1" t="s">
        <v>58</v>
      </c>
      <c r="P270" s="1" t="s">
        <v>59</v>
      </c>
      <c r="Q270" s="1" t="s">
        <v>863</v>
      </c>
      <c r="R270" s="1" t="s">
        <v>61</v>
      </c>
      <c r="S270" s="1" t="s">
        <v>864</v>
      </c>
    </row>
    <row r="271" spans="1:19" ht="22.8">
      <c r="A271" s="1" t="s">
        <v>917</v>
      </c>
      <c r="B271" s="1" t="s">
        <v>861</v>
      </c>
      <c r="C271" s="1" t="s">
        <v>861</v>
      </c>
      <c r="D271" s="1" t="s">
        <v>55</v>
      </c>
      <c r="E271" s="1" t="s">
        <v>20</v>
      </c>
      <c r="F271" s="1"/>
      <c r="G271" s="1"/>
      <c r="H271" s="1"/>
      <c r="I271" s="1"/>
      <c r="J271" s="2"/>
      <c r="K271" s="3">
        <v>42.3250691</v>
      </c>
      <c r="L271" s="3">
        <v>69.579362500000002</v>
      </c>
      <c r="M271" s="1" t="s">
        <v>918</v>
      </c>
      <c r="N271" s="1"/>
      <c r="O271" s="1" t="s">
        <v>58</v>
      </c>
      <c r="P271" s="1" t="s">
        <v>59</v>
      </c>
      <c r="Q271" s="1" t="s">
        <v>863</v>
      </c>
      <c r="R271" s="1" t="s">
        <v>61</v>
      </c>
      <c r="S271" s="1" t="s">
        <v>864</v>
      </c>
    </row>
    <row r="272" spans="1:19" ht="22.8">
      <c r="A272" s="1" t="s">
        <v>919</v>
      </c>
      <c r="B272" s="1" t="s">
        <v>861</v>
      </c>
      <c r="C272" s="1" t="s">
        <v>861</v>
      </c>
      <c r="D272" s="1" t="s">
        <v>55</v>
      </c>
      <c r="E272" s="1" t="s">
        <v>20</v>
      </c>
      <c r="F272" s="1" t="s">
        <v>920</v>
      </c>
      <c r="G272" s="1"/>
      <c r="H272" s="1"/>
      <c r="I272" s="1"/>
      <c r="J272" s="2"/>
      <c r="K272" s="3">
        <v>42.325434399999999</v>
      </c>
      <c r="L272" s="3">
        <v>69.646799299999998</v>
      </c>
      <c r="M272" s="1" t="s">
        <v>921</v>
      </c>
      <c r="N272" s="1"/>
      <c r="O272" s="1" t="s">
        <v>58</v>
      </c>
      <c r="P272" s="1" t="s">
        <v>59</v>
      </c>
      <c r="Q272" s="1" t="s">
        <v>863</v>
      </c>
      <c r="R272" s="1" t="s">
        <v>61</v>
      </c>
      <c r="S272" s="1" t="s">
        <v>864</v>
      </c>
    </row>
    <row r="273" spans="1:19" ht="22.8">
      <c r="A273" s="1" t="s">
        <v>922</v>
      </c>
      <c r="B273" s="1" t="s">
        <v>861</v>
      </c>
      <c r="C273" s="1" t="s">
        <v>861</v>
      </c>
      <c r="D273" s="1" t="s">
        <v>55</v>
      </c>
      <c r="E273" s="1" t="s">
        <v>20</v>
      </c>
      <c r="F273" s="1"/>
      <c r="G273" s="1"/>
      <c r="H273" s="1"/>
      <c r="I273" s="1"/>
      <c r="J273" s="2"/>
      <c r="K273" s="3">
        <v>42.325445299999998</v>
      </c>
      <c r="L273" s="3">
        <v>69.646923999999999</v>
      </c>
      <c r="M273" s="1" t="s">
        <v>923</v>
      </c>
      <c r="N273" s="1"/>
      <c r="O273" s="1" t="s">
        <v>58</v>
      </c>
      <c r="P273" s="1" t="s">
        <v>59</v>
      </c>
      <c r="Q273" s="1" t="s">
        <v>863</v>
      </c>
      <c r="R273" s="1" t="s">
        <v>61</v>
      </c>
      <c r="S273" s="1" t="s">
        <v>864</v>
      </c>
    </row>
    <row r="274" spans="1:19" ht="22.8">
      <c r="A274" s="1" t="s">
        <v>924</v>
      </c>
      <c r="B274" s="1" t="s">
        <v>861</v>
      </c>
      <c r="C274" s="1" t="s">
        <v>861</v>
      </c>
      <c r="D274" s="1" t="s">
        <v>55</v>
      </c>
      <c r="E274" s="1" t="s">
        <v>20</v>
      </c>
      <c r="F274" s="1" t="s">
        <v>925</v>
      </c>
      <c r="G274" s="1"/>
      <c r="H274" s="1"/>
      <c r="I274" s="1"/>
      <c r="J274" s="2"/>
      <c r="K274" s="3">
        <v>42.3271266</v>
      </c>
      <c r="L274" s="3">
        <v>69.576756900000007</v>
      </c>
      <c r="M274" s="1" t="s">
        <v>926</v>
      </c>
      <c r="N274" s="1"/>
      <c r="O274" s="1" t="s">
        <v>58</v>
      </c>
      <c r="P274" s="1" t="s">
        <v>59</v>
      </c>
      <c r="Q274" s="1" t="s">
        <v>863</v>
      </c>
      <c r="R274" s="1" t="s">
        <v>61</v>
      </c>
      <c r="S274" s="1" t="s">
        <v>864</v>
      </c>
    </row>
    <row r="275" spans="1:19" ht="22.8">
      <c r="A275" s="1" t="s">
        <v>927</v>
      </c>
      <c r="B275" s="1" t="s">
        <v>861</v>
      </c>
      <c r="C275" s="1" t="s">
        <v>861</v>
      </c>
      <c r="D275" s="1" t="s">
        <v>55</v>
      </c>
      <c r="E275" s="1" t="s">
        <v>20</v>
      </c>
      <c r="F275" s="1" t="s">
        <v>805</v>
      </c>
      <c r="G275" s="1"/>
      <c r="H275" s="1"/>
      <c r="I275" s="1"/>
      <c r="J275" s="2"/>
      <c r="K275" s="3">
        <v>42.327141500000003</v>
      </c>
      <c r="L275" s="3">
        <v>69.607936600000002</v>
      </c>
      <c r="M275" s="1" t="s">
        <v>928</v>
      </c>
      <c r="N275" s="1"/>
      <c r="O275" s="1" t="s">
        <v>58</v>
      </c>
      <c r="P275" s="1" t="s">
        <v>59</v>
      </c>
      <c r="Q275" s="1" t="s">
        <v>863</v>
      </c>
      <c r="R275" s="1" t="s">
        <v>61</v>
      </c>
      <c r="S275" s="1" t="s">
        <v>864</v>
      </c>
    </row>
    <row r="276" spans="1:19" ht="22.8">
      <c r="A276" s="1" t="s">
        <v>929</v>
      </c>
      <c r="B276" s="1" t="s">
        <v>861</v>
      </c>
      <c r="C276" s="1" t="s">
        <v>861</v>
      </c>
      <c r="D276" s="1" t="s">
        <v>55</v>
      </c>
      <c r="E276" s="1" t="s">
        <v>20</v>
      </c>
      <c r="F276" s="1"/>
      <c r="G276" s="1"/>
      <c r="H276" s="1"/>
      <c r="I276" s="1"/>
      <c r="J276" s="2"/>
      <c r="K276" s="3">
        <v>42.327610800000002</v>
      </c>
      <c r="L276" s="3">
        <v>69.645257099999995</v>
      </c>
      <c r="M276" s="1" t="s">
        <v>930</v>
      </c>
      <c r="N276" s="1"/>
      <c r="O276" s="1" t="s">
        <v>58</v>
      </c>
      <c r="P276" s="1" t="s">
        <v>59</v>
      </c>
      <c r="Q276" s="1" t="s">
        <v>863</v>
      </c>
      <c r="R276" s="1" t="s">
        <v>61</v>
      </c>
      <c r="S276" s="1" t="s">
        <v>864</v>
      </c>
    </row>
    <row r="277" spans="1:19" ht="22.8">
      <c r="A277" s="1" t="s">
        <v>931</v>
      </c>
      <c r="B277" s="1" t="s">
        <v>861</v>
      </c>
      <c r="C277" s="1" t="s">
        <v>861</v>
      </c>
      <c r="D277" s="1" t="s">
        <v>55</v>
      </c>
      <c r="E277" s="1" t="s">
        <v>20</v>
      </c>
      <c r="F277" s="1" t="s">
        <v>932</v>
      </c>
      <c r="G277" s="1"/>
      <c r="H277" s="1"/>
      <c r="I277" s="1"/>
      <c r="J277" s="2"/>
      <c r="K277" s="3">
        <v>42.333328000000002</v>
      </c>
      <c r="L277" s="3">
        <v>69.598146299999996</v>
      </c>
      <c r="M277" s="1" t="s">
        <v>933</v>
      </c>
      <c r="N277" s="1"/>
      <c r="O277" s="1" t="s">
        <v>58</v>
      </c>
      <c r="P277" s="1" t="s">
        <v>59</v>
      </c>
      <c r="Q277" s="1" t="s">
        <v>863</v>
      </c>
      <c r="R277" s="1" t="s">
        <v>61</v>
      </c>
      <c r="S277" s="1" t="s">
        <v>864</v>
      </c>
    </row>
    <row r="278" spans="1:19" ht="22.8">
      <c r="A278" s="1" t="s">
        <v>934</v>
      </c>
      <c r="B278" s="1" t="s">
        <v>861</v>
      </c>
      <c r="C278" s="1" t="s">
        <v>861</v>
      </c>
      <c r="D278" s="1" t="s">
        <v>55</v>
      </c>
      <c r="E278" s="1" t="s">
        <v>20</v>
      </c>
      <c r="F278" s="1" t="s">
        <v>935</v>
      </c>
      <c r="G278" s="1"/>
      <c r="H278" s="1"/>
      <c r="I278" s="1"/>
      <c r="J278" s="2"/>
      <c r="K278" s="3">
        <v>42.334327799999997</v>
      </c>
      <c r="L278" s="3">
        <v>69.597840099999999</v>
      </c>
      <c r="M278" s="1" t="s">
        <v>936</v>
      </c>
      <c r="N278" s="1"/>
      <c r="O278" s="1" t="s">
        <v>58</v>
      </c>
      <c r="P278" s="1" t="s">
        <v>59</v>
      </c>
      <c r="Q278" s="1" t="s">
        <v>863</v>
      </c>
      <c r="R278" s="1" t="s">
        <v>61</v>
      </c>
      <c r="S278" s="1" t="s">
        <v>864</v>
      </c>
    </row>
    <row r="279" spans="1:19" ht="22.8">
      <c r="A279" s="1" t="s">
        <v>937</v>
      </c>
      <c r="B279" s="1" t="s">
        <v>861</v>
      </c>
      <c r="C279" s="1" t="s">
        <v>861</v>
      </c>
      <c r="D279" s="1" t="s">
        <v>55</v>
      </c>
      <c r="E279" s="1" t="s">
        <v>20</v>
      </c>
      <c r="F279" s="1"/>
      <c r="G279" s="1"/>
      <c r="H279" s="1"/>
      <c r="I279" s="1"/>
      <c r="J279" s="2"/>
      <c r="K279" s="3">
        <v>42.334693700000003</v>
      </c>
      <c r="L279" s="3">
        <v>69.596901700000004</v>
      </c>
      <c r="M279" s="1" t="s">
        <v>938</v>
      </c>
      <c r="N279" s="1"/>
      <c r="O279" s="1" t="s">
        <v>58</v>
      </c>
      <c r="P279" s="1" t="s">
        <v>59</v>
      </c>
      <c r="Q279" s="1" t="s">
        <v>863</v>
      </c>
      <c r="R279" s="1" t="s">
        <v>61</v>
      </c>
      <c r="S279" s="1" t="s">
        <v>864</v>
      </c>
    </row>
    <row r="280" spans="1:19" ht="22.8">
      <c r="A280" s="1" t="s">
        <v>939</v>
      </c>
      <c r="B280" s="1" t="s">
        <v>861</v>
      </c>
      <c r="C280" s="1" t="s">
        <v>861</v>
      </c>
      <c r="D280" s="1" t="s">
        <v>55</v>
      </c>
      <c r="E280" s="1" t="s">
        <v>20</v>
      </c>
      <c r="F280" s="1"/>
      <c r="G280" s="1"/>
      <c r="H280" s="1"/>
      <c r="I280" s="1"/>
      <c r="J280" s="2"/>
      <c r="K280" s="3">
        <v>42.3353976</v>
      </c>
      <c r="L280" s="3">
        <v>69.596927199999996</v>
      </c>
      <c r="M280" s="1" t="s">
        <v>940</v>
      </c>
      <c r="N280" s="1"/>
      <c r="O280" s="1" t="s">
        <v>58</v>
      </c>
      <c r="P280" s="1" t="s">
        <v>59</v>
      </c>
      <c r="Q280" s="1" t="s">
        <v>863</v>
      </c>
      <c r="R280" s="1" t="s">
        <v>61</v>
      </c>
      <c r="S280" s="1" t="s">
        <v>864</v>
      </c>
    </row>
    <row r="281" spans="1:19" ht="22.8">
      <c r="A281" s="1" t="s">
        <v>941</v>
      </c>
      <c r="B281" s="1" t="s">
        <v>861</v>
      </c>
      <c r="C281" s="1" t="s">
        <v>861</v>
      </c>
      <c r="D281" s="1" t="s">
        <v>55</v>
      </c>
      <c r="E281" s="1" t="s">
        <v>20</v>
      </c>
      <c r="F281" s="1"/>
      <c r="G281" s="1"/>
      <c r="H281" s="1"/>
      <c r="I281" s="1"/>
      <c r="J281" s="2"/>
      <c r="K281" s="3">
        <v>42.336834899999999</v>
      </c>
      <c r="L281" s="3">
        <v>69.650255099999995</v>
      </c>
      <c r="M281" s="1" t="s">
        <v>942</v>
      </c>
      <c r="N281" s="1"/>
      <c r="O281" s="1" t="s">
        <v>58</v>
      </c>
      <c r="P281" s="1" t="s">
        <v>59</v>
      </c>
      <c r="Q281" s="1" t="s">
        <v>863</v>
      </c>
      <c r="R281" s="1" t="s">
        <v>61</v>
      </c>
      <c r="S281" s="1" t="s">
        <v>864</v>
      </c>
    </row>
    <row r="282" spans="1:19" ht="22.8">
      <c r="A282" s="1" t="s">
        <v>943</v>
      </c>
      <c r="B282" s="1" t="s">
        <v>861</v>
      </c>
      <c r="C282" s="1" t="s">
        <v>861</v>
      </c>
      <c r="D282" s="1" t="s">
        <v>55</v>
      </c>
      <c r="E282" s="1" t="s">
        <v>20</v>
      </c>
      <c r="F282" s="1" t="s">
        <v>944</v>
      </c>
      <c r="G282" s="1"/>
      <c r="H282" s="1"/>
      <c r="I282" s="1"/>
      <c r="J282" s="2"/>
      <c r="K282" s="3">
        <v>42.337896299999997</v>
      </c>
      <c r="L282" s="3">
        <v>69.573007399999995</v>
      </c>
      <c r="M282" s="1" t="s">
        <v>945</v>
      </c>
      <c r="N282" s="1"/>
      <c r="O282" s="1" t="s">
        <v>58</v>
      </c>
      <c r="P282" s="1" t="s">
        <v>59</v>
      </c>
      <c r="Q282" s="1" t="s">
        <v>863</v>
      </c>
      <c r="R282" s="1" t="s">
        <v>61</v>
      </c>
      <c r="S282" s="1" t="s">
        <v>864</v>
      </c>
    </row>
    <row r="283" spans="1:19" ht="22.8">
      <c r="A283" s="1" t="s">
        <v>946</v>
      </c>
      <c r="B283" s="1" t="s">
        <v>861</v>
      </c>
      <c r="C283" s="1" t="s">
        <v>861</v>
      </c>
      <c r="D283" s="1" t="s">
        <v>55</v>
      </c>
      <c r="E283" s="1" t="s">
        <v>20</v>
      </c>
      <c r="F283" s="1" t="s">
        <v>805</v>
      </c>
      <c r="G283" s="1"/>
      <c r="H283" s="1"/>
      <c r="I283" s="1"/>
      <c r="J283" s="2"/>
      <c r="K283" s="3">
        <v>42.338480300000001</v>
      </c>
      <c r="L283" s="3">
        <v>69.612424300000001</v>
      </c>
      <c r="M283" s="1" t="s">
        <v>947</v>
      </c>
      <c r="N283" s="1"/>
      <c r="O283" s="1" t="s">
        <v>58</v>
      </c>
      <c r="P283" s="1" t="s">
        <v>59</v>
      </c>
      <c r="Q283" s="1" t="s">
        <v>863</v>
      </c>
      <c r="R283" s="1" t="s">
        <v>61</v>
      </c>
      <c r="S283" s="1" t="s">
        <v>864</v>
      </c>
    </row>
    <row r="284" spans="1:19" ht="22.8">
      <c r="A284" s="1" t="s">
        <v>948</v>
      </c>
      <c r="B284" s="1" t="s">
        <v>861</v>
      </c>
      <c r="C284" s="1" t="s">
        <v>861</v>
      </c>
      <c r="D284" s="1" t="s">
        <v>55</v>
      </c>
      <c r="E284" s="1" t="s">
        <v>20</v>
      </c>
      <c r="F284" s="1"/>
      <c r="G284" s="1"/>
      <c r="H284" s="1"/>
      <c r="I284" s="1"/>
      <c r="J284" s="2"/>
      <c r="K284" s="3">
        <v>42.340468899999998</v>
      </c>
      <c r="L284" s="3">
        <v>69.639815900000002</v>
      </c>
      <c r="M284" s="1" t="s">
        <v>949</v>
      </c>
      <c r="N284" s="1"/>
      <c r="O284" s="1" t="s">
        <v>58</v>
      </c>
      <c r="P284" s="1" t="s">
        <v>59</v>
      </c>
      <c r="Q284" s="1" t="s">
        <v>863</v>
      </c>
      <c r="R284" s="1" t="s">
        <v>61</v>
      </c>
      <c r="S284" s="1" t="s">
        <v>864</v>
      </c>
    </row>
    <row r="285" spans="1:19" ht="22.8">
      <c r="A285" s="1" t="s">
        <v>950</v>
      </c>
      <c r="B285" s="1" t="s">
        <v>861</v>
      </c>
      <c r="C285" s="1" t="s">
        <v>861</v>
      </c>
      <c r="D285" s="1" t="s">
        <v>55</v>
      </c>
      <c r="E285" s="1" t="s">
        <v>20</v>
      </c>
      <c r="F285" s="1"/>
      <c r="G285" s="1"/>
      <c r="H285" s="1"/>
      <c r="I285" s="1"/>
      <c r="J285" s="2"/>
      <c r="K285" s="3">
        <v>42.340709500000003</v>
      </c>
      <c r="L285" s="3">
        <v>69.640714099999997</v>
      </c>
      <c r="M285" s="1" t="s">
        <v>951</v>
      </c>
      <c r="N285" s="1"/>
      <c r="O285" s="1" t="s">
        <v>58</v>
      </c>
      <c r="P285" s="1" t="s">
        <v>59</v>
      </c>
      <c r="Q285" s="1" t="s">
        <v>863</v>
      </c>
      <c r="R285" s="1" t="s">
        <v>61</v>
      </c>
      <c r="S285" s="1" t="s">
        <v>864</v>
      </c>
    </row>
    <row r="286" spans="1:19" ht="22.8">
      <c r="A286" s="1" t="s">
        <v>952</v>
      </c>
      <c r="B286" s="1" t="s">
        <v>861</v>
      </c>
      <c r="C286" s="1" t="s">
        <v>861</v>
      </c>
      <c r="D286" s="1" t="s">
        <v>55</v>
      </c>
      <c r="E286" s="1" t="s">
        <v>20</v>
      </c>
      <c r="F286" s="1" t="s">
        <v>97</v>
      </c>
      <c r="G286" s="1"/>
      <c r="H286" s="1"/>
      <c r="I286" s="1"/>
      <c r="J286" s="2"/>
      <c r="K286" s="3">
        <v>42.3409063</v>
      </c>
      <c r="L286" s="3">
        <v>69.611091400000007</v>
      </c>
      <c r="M286" s="1" t="s">
        <v>953</v>
      </c>
      <c r="N286" s="1"/>
      <c r="O286" s="1" t="s">
        <v>58</v>
      </c>
      <c r="P286" s="1" t="s">
        <v>59</v>
      </c>
      <c r="Q286" s="1" t="s">
        <v>863</v>
      </c>
      <c r="R286" s="1" t="s">
        <v>61</v>
      </c>
      <c r="S286" s="1" t="s">
        <v>864</v>
      </c>
    </row>
    <row r="287" spans="1:19" ht="22.8">
      <c r="A287" s="1" t="s">
        <v>954</v>
      </c>
      <c r="B287" s="1" t="s">
        <v>861</v>
      </c>
      <c r="C287" s="1" t="s">
        <v>861</v>
      </c>
      <c r="D287" s="1" t="s">
        <v>55</v>
      </c>
      <c r="E287" s="1" t="s">
        <v>20</v>
      </c>
      <c r="F287" s="1" t="s">
        <v>56</v>
      </c>
      <c r="G287" s="1"/>
      <c r="H287" s="1"/>
      <c r="I287" s="1"/>
      <c r="J287" s="2"/>
      <c r="K287" s="3">
        <v>42.341307499999999</v>
      </c>
      <c r="L287" s="3">
        <v>69.642094900000004</v>
      </c>
      <c r="M287" s="1" t="s">
        <v>955</v>
      </c>
      <c r="N287" s="1"/>
      <c r="O287" s="1" t="s">
        <v>58</v>
      </c>
      <c r="P287" s="1" t="s">
        <v>59</v>
      </c>
      <c r="Q287" s="1" t="s">
        <v>863</v>
      </c>
      <c r="R287" s="1" t="s">
        <v>61</v>
      </c>
      <c r="S287" s="1" t="s">
        <v>864</v>
      </c>
    </row>
    <row r="288" spans="1:19" ht="22.8">
      <c r="A288" s="1" t="s">
        <v>956</v>
      </c>
      <c r="B288" s="1" t="s">
        <v>861</v>
      </c>
      <c r="C288" s="1" t="s">
        <v>861</v>
      </c>
      <c r="D288" s="1" t="s">
        <v>55</v>
      </c>
      <c r="E288" s="1" t="s">
        <v>20</v>
      </c>
      <c r="F288" s="1"/>
      <c r="G288" s="1"/>
      <c r="H288" s="1"/>
      <c r="I288" s="1"/>
      <c r="J288" s="2"/>
      <c r="K288" s="3">
        <v>42.343323099999999</v>
      </c>
      <c r="L288" s="3">
        <v>69.605051200000005</v>
      </c>
      <c r="M288" s="1" t="s">
        <v>957</v>
      </c>
      <c r="N288" s="1"/>
      <c r="O288" s="1" t="s">
        <v>58</v>
      </c>
      <c r="P288" s="1" t="s">
        <v>59</v>
      </c>
      <c r="Q288" s="1" t="s">
        <v>863</v>
      </c>
      <c r="R288" s="1" t="s">
        <v>61</v>
      </c>
      <c r="S288" s="1" t="s">
        <v>864</v>
      </c>
    </row>
    <row r="289" spans="1:19" ht="22.8">
      <c r="A289" s="1" t="s">
        <v>958</v>
      </c>
      <c r="B289" s="1" t="s">
        <v>861</v>
      </c>
      <c r="C289" s="1" t="s">
        <v>861</v>
      </c>
      <c r="D289" s="1" t="s">
        <v>55</v>
      </c>
      <c r="E289" s="1" t="s">
        <v>20</v>
      </c>
      <c r="F289" s="1"/>
      <c r="G289" s="1"/>
      <c r="H289" s="1"/>
      <c r="I289" s="1"/>
      <c r="J289" s="2"/>
      <c r="K289" s="3">
        <v>42.343997399999999</v>
      </c>
      <c r="L289" s="3">
        <v>69.639725299999995</v>
      </c>
      <c r="M289" s="1" t="s">
        <v>959</v>
      </c>
      <c r="N289" s="1"/>
      <c r="O289" s="1" t="s">
        <v>58</v>
      </c>
      <c r="P289" s="1" t="s">
        <v>59</v>
      </c>
      <c r="Q289" s="1" t="s">
        <v>863</v>
      </c>
      <c r="R289" s="1" t="s">
        <v>61</v>
      </c>
      <c r="S289" s="1" t="s">
        <v>864</v>
      </c>
    </row>
    <row r="290" spans="1:19" ht="22.8">
      <c r="A290" s="1" t="s">
        <v>960</v>
      </c>
      <c r="B290" s="1" t="s">
        <v>861</v>
      </c>
      <c r="C290" s="1" t="s">
        <v>861</v>
      </c>
      <c r="D290" s="1" t="s">
        <v>55</v>
      </c>
      <c r="E290" s="1" t="s">
        <v>20</v>
      </c>
      <c r="F290" s="1"/>
      <c r="G290" s="1"/>
      <c r="H290" s="1"/>
      <c r="I290" s="1"/>
      <c r="J290" s="2"/>
      <c r="K290" s="3">
        <v>42.344507999999998</v>
      </c>
      <c r="L290" s="3">
        <v>69.671633600000007</v>
      </c>
      <c r="M290" s="1" t="s">
        <v>961</v>
      </c>
      <c r="N290" s="1"/>
      <c r="O290" s="1" t="s">
        <v>58</v>
      </c>
      <c r="P290" s="1" t="s">
        <v>59</v>
      </c>
      <c r="Q290" s="1" t="s">
        <v>863</v>
      </c>
      <c r="R290" s="1" t="s">
        <v>61</v>
      </c>
      <c r="S290" s="1" t="s">
        <v>864</v>
      </c>
    </row>
    <row r="291" spans="1:19" ht="22.8">
      <c r="A291" s="1" t="s">
        <v>962</v>
      </c>
      <c r="B291" s="1" t="s">
        <v>861</v>
      </c>
      <c r="C291" s="1" t="s">
        <v>861</v>
      </c>
      <c r="D291" s="1" t="s">
        <v>55</v>
      </c>
      <c r="E291" s="1" t="s">
        <v>20</v>
      </c>
      <c r="F291" s="1"/>
      <c r="G291" s="1"/>
      <c r="H291" s="1"/>
      <c r="I291" s="1"/>
      <c r="J291" s="2"/>
      <c r="K291" s="3">
        <v>42.344522300000001</v>
      </c>
      <c r="L291" s="3">
        <v>69.612558500000006</v>
      </c>
      <c r="M291" s="1" t="s">
        <v>963</v>
      </c>
      <c r="N291" s="1"/>
      <c r="O291" s="1" t="s">
        <v>58</v>
      </c>
      <c r="P291" s="1" t="s">
        <v>59</v>
      </c>
      <c r="Q291" s="1" t="s">
        <v>863</v>
      </c>
      <c r="R291" s="1" t="s">
        <v>61</v>
      </c>
      <c r="S291" s="1" t="s">
        <v>864</v>
      </c>
    </row>
    <row r="292" spans="1:19" ht="22.8">
      <c r="A292" s="1" t="s">
        <v>964</v>
      </c>
      <c r="B292" s="1" t="s">
        <v>861</v>
      </c>
      <c r="C292" s="1" t="s">
        <v>861</v>
      </c>
      <c r="D292" s="1" t="s">
        <v>55</v>
      </c>
      <c r="E292" s="1" t="s">
        <v>20</v>
      </c>
      <c r="F292" s="1"/>
      <c r="G292" s="1"/>
      <c r="H292" s="1"/>
      <c r="I292" s="1"/>
      <c r="J292" s="2"/>
      <c r="K292" s="3">
        <v>42.345090300000003</v>
      </c>
      <c r="L292" s="3">
        <v>69.634981400000001</v>
      </c>
      <c r="M292" s="1" t="s">
        <v>965</v>
      </c>
      <c r="N292" s="1"/>
      <c r="O292" s="1" t="s">
        <v>58</v>
      </c>
      <c r="P292" s="1" t="s">
        <v>59</v>
      </c>
      <c r="Q292" s="1" t="s">
        <v>863</v>
      </c>
      <c r="R292" s="1" t="s">
        <v>61</v>
      </c>
      <c r="S292" s="1" t="s">
        <v>864</v>
      </c>
    </row>
    <row r="293" spans="1:19" ht="22.8">
      <c r="A293" s="1" t="s">
        <v>966</v>
      </c>
      <c r="B293" s="1" t="s">
        <v>861</v>
      </c>
      <c r="C293" s="1" t="s">
        <v>861</v>
      </c>
      <c r="D293" s="1" t="s">
        <v>55</v>
      </c>
      <c r="E293" s="1" t="s">
        <v>20</v>
      </c>
      <c r="F293" s="1"/>
      <c r="G293" s="1"/>
      <c r="H293" s="1"/>
      <c r="I293" s="1"/>
      <c r="J293" s="2"/>
      <c r="K293" s="3">
        <v>42.345174700000001</v>
      </c>
      <c r="L293" s="3">
        <v>69.670857600000005</v>
      </c>
      <c r="M293" s="1" t="s">
        <v>967</v>
      </c>
      <c r="N293" s="1"/>
      <c r="O293" s="1" t="s">
        <v>58</v>
      </c>
      <c r="P293" s="1" t="s">
        <v>59</v>
      </c>
      <c r="Q293" s="1" t="s">
        <v>863</v>
      </c>
      <c r="R293" s="1" t="s">
        <v>61</v>
      </c>
      <c r="S293" s="1" t="s">
        <v>864</v>
      </c>
    </row>
    <row r="294" spans="1:19" ht="22.8">
      <c r="A294" s="1" t="s">
        <v>968</v>
      </c>
      <c r="B294" s="1" t="s">
        <v>861</v>
      </c>
      <c r="C294" s="1" t="s">
        <v>861</v>
      </c>
      <c r="D294" s="1" t="s">
        <v>55</v>
      </c>
      <c r="E294" s="1" t="s">
        <v>20</v>
      </c>
      <c r="F294" s="1"/>
      <c r="G294" s="1"/>
      <c r="H294" s="1"/>
      <c r="I294" s="1"/>
      <c r="J294" s="2"/>
      <c r="K294" s="3">
        <v>42.3467688</v>
      </c>
      <c r="L294" s="3">
        <v>69.615906100000004</v>
      </c>
      <c r="M294" s="1" t="s">
        <v>969</v>
      </c>
      <c r="N294" s="1"/>
      <c r="O294" s="1" t="s">
        <v>58</v>
      </c>
      <c r="P294" s="1" t="s">
        <v>59</v>
      </c>
      <c r="Q294" s="1" t="s">
        <v>863</v>
      </c>
      <c r="R294" s="1" t="s">
        <v>61</v>
      </c>
      <c r="S294" s="1" t="s">
        <v>864</v>
      </c>
    </row>
    <row r="295" spans="1:19" ht="22.8">
      <c r="A295" s="1" t="s">
        <v>970</v>
      </c>
      <c r="B295" s="1" t="s">
        <v>861</v>
      </c>
      <c r="C295" s="1" t="s">
        <v>861</v>
      </c>
      <c r="D295" s="1" t="s">
        <v>55</v>
      </c>
      <c r="E295" s="1" t="s">
        <v>20</v>
      </c>
      <c r="F295" s="1"/>
      <c r="G295" s="1"/>
      <c r="H295" s="1"/>
      <c r="I295" s="1"/>
      <c r="J295" s="2"/>
      <c r="K295" s="3">
        <v>42.348342799999998</v>
      </c>
      <c r="L295" s="3">
        <v>69.617997799999998</v>
      </c>
      <c r="M295" s="1" t="s">
        <v>971</v>
      </c>
      <c r="N295" s="1"/>
      <c r="O295" s="1" t="s">
        <v>58</v>
      </c>
      <c r="P295" s="1" t="s">
        <v>59</v>
      </c>
      <c r="Q295" s="1" t="s">
        <v>863</v>
      </c>
      <c r="R295" s="1" t="s">
        <v>61</v>
      </c>
      <c r="S295" s="1" t="s">
        <v>864</v>
      </c>
    </row>
    <row r="296" spans="1:19" ht="22.8">
      <c r="A296" s="1" t="s">
        <v>972</v>
      </c>
      <c r="B296" s="1" t="s">
        <v>861</v>
      </c>
      <c r="C296" s="1" t="s">
        <v>861</v>
      </c>
      <c r="D296" s="1" t="s">
        <v>55</v>
      </c>
      <c r="E296" s="1" t="s">
        <v>20</v>
      </c>
      <c r="F296" s="1"/>
      <c r="G296" s="1"/>
      <c r="H296" s="1"/>
      <c r="I296" s="1"/>
      <c r="J296" s="2"/>
      <c r="K296" s="3">
        <v>42.349552600000003</v>
      </c>
      <c r="L296" s="3">
        <v>69.642153100000002</v>
      </c>
      <c r="M296" s="1" t="s">
        <v>973</v>
      </c>
      <c r="N296" s="1"/>
      <c r="O296" s="1" t="s">
        <v>58</v>
      </c>
      <c r="P296" s="1" t="s">
        <v>59</v>
      </c>
      <c r="Q296" s="1" t="s">
        <v>863</v>
      </c>
      <c r="R296" s="1" t="s">
        <v>61</v>
      </c>
      <c r="S296" s="1" t="s">
        <v>864</v>
      </c>
    </row>
    <row r="297" spans="1:19" ht="22.8">
      <c r="A297" s="1" t="s">
        <v>974</v>
      </c>
      <c r="B297" s="1" t="s">
        <v>861</v>
      </c>
      <c r="C297" s="1" t="s">
        <v>861</v>
      </c>
      <c r="D297" s="1" t="s">
        <v>55</v>
      </c>
      <c r="E297" s="1" t="s">
        <v>20</v>
      </c>
      <c r="F297" s="1"/>
      <c r="G297" s="1"/>
      <c r="H297" s="1"/>
      <c r="I297" s="1"/>
      <c r="J297" s="2"/>
      <c r="K297" s="3">
        <v>42.368948400000001</v>
      </c>
      <c r="L297" s="3">
        <v>69.4998358</v>
      </c>
      <c r="M297" s="1" t="s">
        <v>975</v>
      </c>
      <c r="N297" s="1"/>
      <c r="O297" s="1" t="s">
        <v>58</v>
      </c>
      <c r="P297" s="1" t="s">
        <v>59</v>
      </c>
      <c r="Q297" s="1" t="s">
        <v>863</v>
      </c>
      <c r="R297" s="1" t="s">
        <v>61</v>
      </c>
      <c r="S297" s="1" t="s">
        <v>864</v>
      </c>
    </row>
    <row r="298" spans="1:19" ht="22.8">
      <c r="A298" s="1" t="s">
        <v>976</v>
      </c>
      <c r="B298" s="1" t="s">
        <v>861</v>
      </c>
      <c r="C298" s="1" t="s">
        <v>861</v>
      </c>
      <c r="D298" s="1" t="s">
        <v>55</v>
      </c>
      <c r="E298" s="1" t="s">
        <v>20</v>
      </c>
      <c r="F298" s="1"/>
      <c r="G298" s="1"/>
      <c r="H298" s="1"/>
      <c r="I298" s="1"/>
      <c r="J298" s="2"/>
      <c r="K298" s="3">
        <v>42.369729900000003</v>
      </c>
      <c r="L298" s="3">
        <v>69.505727399999998</v>
      </c>
      <c r="M298" s="1" t="s">
        <v>977</v>
      </c>
      <c r="N298" s="1"/>
      <c r="O298" s="1" t="s">
        <v>58</v>
      </c>
      <c r="P298" s="1" t="s">
        <v>59</v>
      </c>
      <c r="Q298" s="1" t="s">
        <v>863</v>
      </c>
      <c r="R298" s="1" t="s">
        <v>61</v>
      </c>
      <c r="S298" s="1" t="s">
        <v>864</v>
      </c>
    </row>
    <row r="299" spans="1:19" ht="22.8">
      <c r="A299" s="1" t="s">
        <v>978</v>
      </c>
      <c r="B299" s="1" t="s">
        <v>861</v>
      </c>
      <c r="C299" s="1" t="s">
        <v>861</v>
      </c>
      <c r="D299" s="1" t="s">
        <v>55</v>
      </c>
      <c r="E299" s="1" t="s">
        <v>20</v>
      </c>
      <c r="F299" s="1"/>
      <c r="G299" s="1"/>
      <c r="H299" s="1"/>
      <c r="I299" s="1"/>
      <c r="J299" s="2"/>
      <c r="K299" s="3">
        <v>42.371788899999999</v>
      </c>
      <c r="L299" s="3">
        <v>69.626442400000002</v>
      </c>
      <c r="M299" s="1" t="s">
        <v>979</v>
      </c>
      <c r="N299" s="1"/>
      <c r="O299" s="1" t="s">
        <v>58</v>
      </c>
      <c r="P299" s="1" t="s">
        <v>59</v>
      </c>
      <c r="Q299" s="1" t="s">
        <v>863</v>
      </c>
      <c r="R299" s="1" t="s">
        <v>61</v>
      </c>
      <c r="S299" s="1" t="s">
        <v>864</v>
      </c>
    </row>
    <row r="300" spans="1:19" ht="22.8">
      <c r="A300" s="1" t="s">
        <v>980</v>
      </c>
      <c r="B300" s="1" t="s">
        <v>861</v>
      </c>
      <c r="C300" s="1" t="s">
        <v>861</v>
      </c>
      <c r="D300" s="1" t="s">
        <v>55</v>
      </c>
      <c r="E300" s="1" t="s">
        <v>20</v>
      </c>
      <c r="F300" s="1"/>
      <c r="G300" s="1"/>
      <c r="H300" s="1"/>
      <c r="I300" s="1"/>
      <c r="J300" s="2"/>
      <c r="K300" s="3">
        <v>42.374149799999998</v>
      </c>
      <c r="L300" s="3">
        <v>69.627012699999995</v>
      </c>
      <c r="M300" s="1" t="s">
        <v>981</v>
      </c>
      <c r="N300" s="1"/>
      <c r="O300" s="1" t="s">
        <v>58</v>
      </c>
      <c r="P300" s="1" t="s">
        <v>59</v>
      </c>
      <c r="Q300" s="1" t="s">
        <v>863</v>
      </c>
      <c r="R300" s="1" t="s">
        <v>61</v>
      </c>
      <c r="S300" s="1" t="s">
        <v>864</v>
      </c>
    </row>
    <row r="301" spans="1:19" ht="22.8">
      <c r="A301" s="1" t="s">
        <v>982</v>
      </c>
      <c r="B301" s="1" t="s">
        <v>861</v>
      </c>
      <c r="C301" s="1" t="s">
        <v>861</v>
      </c>
      <c r="D301" s="1" t="s">
        <v>55</v>
      </c>
      <c r="E301" s="1" t="s">
        <v>20</v>
      </c>
      <c r="F301" s="1"/>
      <c r="G301" s="1"/>
      <c r="H301" s="1"/>
      <c r="I301" s="1"/>
      <c r="J301" s="2"/>
      <c r="K301" s="3">
        <v>42.376598100000002</v>
      </c>
      <c r="L301" s="3">
        <v>69.7199332</v>
      </c>
      <c r="M301" s="1" t="s">
        <v>983</v>
      </c>
      <c r="N301" s="1"/>
      <c r="O301" s="1" t="s">
        <v>58</v>
      </c>
      <c r="P301" s="1" t="s">
        <v>59</v>
      </c>
      <c r="Q301" s="1" t="s">
        <v>863</v>
      </c>
      <c r="R301" s="1" t="s">
        <v>61</v>
      </c>
      <c r="S301" s="1" t="s">
        <v>864</v>
      </c>
    </row>
    <row r="302" spans="1:19" ht="22.8">
      <c r="A302" s="1" t="s">
        <v>984</v>
      </c>
      <c r="B302" s="1" t="s">
        <v>985</v>
      </c>
      <c r="C302" s="1" t="s">
        <v>985</v>
      </c>
      <c r="D302" s="1" t="s">
        <v>55</v>
      </c>
      <c r="E302" s="1" t="s">
        <v>20</v>
      </c>
      <c r="F302" s="1" t="s">
        <v>986</v>
      </c>
      <c r="G302" s="1"/>
      <c r="H302" s="1"/>
      <c r="I302" s="1"/>
      <c r="J302" s="2"/>
      <c r="K302" s="3">
        <v>42.4362244</v>
      </c>
      <c r="L302" s="3">
        <v>69.547634500000001</v>
      </c>
      <c r="M302" s="1" t="s">
        <v>987</v>
      </c>
      <c r="N302" s="1"/>
      <c r="O302" s="1" t="s">
        <v>58</v>
      </c>
      <c r="P302" s="1" t="s">
        <v>59</v>
      </c>
      <c r="Q302" s="1" t="s">
        <v>60</v>
      </c>
      <c r="R302" s="1" t="s">
        <v>61</v>
      </c>
      <c r="S302" s="1" t="s">
        <v>62</v>
      </c>
    </row>
    <row r="303" spans="1:19" ht="22.8">
      <c r="A303" s="1" t="s">
        <v>988</v>
      </c>
      <c r="B303" s="1" t="s">
        <v>989</v>
      </c>
      <c r="C303" s="1" t="s">
        <v>989</v>
      </c>
      <c r="D303" s="1" t="s">
        <v>55</v>
      </c>
      <c r="E303" s="1" t="s">
        <v>20</v>
      </c>
      <c r="F303" s="1" t="s">
        <v>97</v>
      </c>
      <c r="G303" s="1"/>
      <c r="H303" s="1"/>
      <c r="I303" s="1"/>
      <c r="J303" s="2"/>
      <c r="K303" s="3">
        <v>42.3320097</v>
      </c>
      <c r="L303" s="3">
        <v>69.6075436</v>
      </c>
      <c r="M303" s="1" t="s">
        <v>990</v>
      </c>
      <c r="N303" s="1"/>
      <c r="O303" s="1" t="s">
        <v>58</v>
      </c>
      <c r="P303" s="1" t="s">
        <v>59</v>
      </c>
      <c r="Q303" s="1" t="s">
        <v>60</v>
      </c>
      <c r="R303" s="1" t="s">
        <v>61</v>
      </c>
      <c r="S303" s="1" t="s">
        <v>62</v>
      </c>
    </row>
    <row r="304" spans="1:19" ht="22.8">
      <c r="A304" s="1" t="s">
        <v>991</v>
      </c>
      <c r="B304" s="1" t="s">
        <v>992</v>
      </c>
      <c r="C304" s="1" t="s">
        <v>992</v>
      </c>
      <c r="D304" s="1" t="s">
        <v>55</v>
      </c>
      <c r="E304" s="1" t="s">
        <v>20</v>
      </c>
      <c r="F304" s="1" t="s">
        <v>993</v>
      </c>
      <c r="G304" s="1"/>
      <c r="H304" s="1"/>
      <c r="I304" s="1"/>
      <c r="J304" s="2"/>
      <c r="K304" s="3">
        <v>42.362363199999997</v>
      </c>
      <c r="L304" s="3">
        <v>69.628454300000001</v>
      </c>
      <c r="M304" s="1" t="s">
        <v>994</v>
      </c>
      <c r="N304" s="1"/>
      <c r="O304" s="1" t="s">
        <v>58</v>
      </c>
      <c r="P304" s="1" t="s">
        <v>59</v>
      </c>
      <c r="Q304" s="1" t="s">
        <v>60</v>
      </c>
      <c r="R304" s="1" t="s">
        <v>61</v>
      </c>
      <c r="S304" s="1" t="s">
        <v>62</v>
      </c>
    </row>
    <row r="305" spans="1:19" ht="22.8">
      <c r="A305" s="1" t="s">
        <v>995</v>
      </c>
      <c r="B305" s="1" t="s">
        <v>996</v>
      </c>
      <c r="C305" s="1" t="s">
        <v>996</v>
      </c>
      <c r="D305" s="1" t="s">
        <v>55</v>
      </c>
      <c r="E305" s="1" t="s">
        <v>20</v>
      </c>
      <c r="F305" s="1"/>
      <c r="G305" s="1"/>
      <c r="H305" s="1"/>
      <c r="I305" s="1"/>
      <c r="J305" s="2"/>
      <c r="K305" s="3">
        <v>42.324369099999998</v>
      </c>
      <c r="L305" s="3">
        <v>69.5796931</v>
      </c>
      <c r="M305" s="1" t="s">
        <v>997</v>
      </c>
      <c r="N305" s="1"/>
      <c r="O305" s="1" t="s">
        <v>58</v>
      </c>
      <c r="P305" s="1" t="s">
        <v>59</v>
      </c>
      <c r="Q305" s="1" t="s">
        <v>60</v>
      </c>
      <c r="R305" s="1" t="s">
        <v>61</v>
      </c>
      <c r="S305" s="1" t="s">
        <v>66</v>
      </c>
    </row>
    <row r="306" spans="1:19" ht="22.8">
      <c r="A306" s="1" t="s">
        <v>998</v>
      </c>
      <c r="B306" s="1" t="s">
        <v>999</v>
      </c>
      <c r="C306" s="1" t="s">
        <v>999</v>
      </c>
      <c r="D306" s="1" t="s">
        <v>55</v>
      </c>
      <c r="E306" s="1" t="s">
        <v>20</v>
      </c>
      <c r="F306" s="1"/>
      <c r="G306" s="1"/>
      <c r="H306" s="1"/>
      <c r="I306" s="1"/>
      <c r="J306" s="2"/>
      <c r="K306" s="3">
        <v>42.313100800000001</v>
      </c>
      <c r="L306" s="3">
        <v>69.643552099999994</v>
      </c>
      <c r="M306" s="1" t="s">
        <v>1000</v>
      </c>
      <c r="N306" s="1"/>
      <c r="O306" s="1" t="s">
        <v>58</v>
      </c>
      <c r="P306" s="1" t="s">
        <v>59</v>
      </c>
      <c r="Q306" s="1" t="s">
        <v>60</v>
      </c>
      <c r="R306" s="1" t="s">
        <v>61</v>
      </c>
      <c r="S306" s="1" t="s">
        <v>66</v>
      </c>
    </row>
    <row r="307" spans="1:19" ht="22.8">
      <c r="A307" s="1" t="s">
        <v>1001</v>
      </c>
      <c r="B307" s="1" t="s">
        <v>1002</v>
      </c>
      <c r="C307" s="1" t="s">
        <v>1002</v>
      </c>
      <c r="D307" s="1" t="s">
        <v>55</v>
      </c>
      <c r="E307" s="1" t="s">
        <v>20</v>
      </c>
      <c r="F307" s="1"/>
      <c r="G307" s="1"/>
      <c r="H307" s="1"/>
      <c r="I307" s="1"/>
      <c r="J307" s="2"/>
      <c r="K307" s="3">
        <v>42.310337099999998</v>
      </c>
      <c r="L307" s="3">
        <v>69.600368099999997</v>
      </c>
      <c r="M307" s="1" t="s">
        <v>1003</v>
      </c>
      <c r="N307" s="1"/>
      <c r="O307" s="1" t="s">
        <v>58</v>
      </c>
      <c r="P307" s="1" t="s">
        <v>59</v>
      </c>
      <c r="Q307" s="1" t="s">
        <v>60</v>
      </c>
      <c r="R307" s="1" t="s">
        <v>61</v>
      </c>
      <c r="S307" s="1" t="s">
        <v>66</v>
      </c>
    </row>
    <row r="308" spans="1:19" ht="114">
      <c r="A308" s="1" t="s">
        <v>1004</v>
      </c>
      <c r="B308" s="1" t="s">
        <v>1005</v>
      </c>
      <c r="C308" s="1" t="s">
        <v>1005</v>
      </c>
      <c r="D308" s="1" t="s">
        <v>1005</v>
      </c>
      <c r="E308" s="1" t="s">
        <v>20</v>
      </c>
      <c r="F308" s="1" t="s">
        <v>1006</v>
      </c>
      <c r="G308" s="1" t="s">
        <v>614</v>
      </c>
      <c r="H308" s="1" t="s">
        <v>1007</v>
      </c>
      <c r="I308" s="1" t="s">
        <v>1008</v>
      </c>
      <c r="J308" s="2">
        <v>26</v>
      </c>
      <c r="K308" s="3">
        <v>42.307621599999997</v>
      </c>
      <c r="L308" s="3">
        <v>69.575911700000006</v>
      </c>
      <c r="M308" s="1" t="s">
        <v>1009</v>
      </c>
      <c r="N308" s="1" t="s">
        <v>1010</v>
      </c>
      <c r="O308" s="1" t="s">
        <v>815</v>
      </c>
      <c r="P308" s="1" t="s">
        <v>59</v>
      </c>
      <c r="Q308" s="1" t="s">
        <v>60</v>
      </c>
      <c r="R308" s="1" t="s">
        <v>61</v>
      </c>
      <c r="S308" s="1" t="s">
        <v>1011</v>
      </c>
    </row>
    <row r="309" spans="1:19" ht="22.8">
      <c r="A309" s="1" t="s">
        <v>1012</v>
      </c>
      <c r="B309" s="1" t="s">
        <v>1005</v>
      </c>
      <c r="C309" s="1" t="s">
        <v>1005</v>
      </c>
      <c r="D309" s="1" t="s">
        <v>1005</v>
      </c>
      <c r="E309" s="1" t="s">
        <v>20</v>
      </c>
      <c r="F309" s="1"/>
      <c r="G309" s="1"/>
      <c r="H309" s="1"/>
      <c r="I309" s="1"/>
      <c r="J309" s="2"/>
      <c r="K309" s="3">
        <v>42.311304999999997</v>
      </c>
      <c r="L309" s="3">
        <v>69.612529100000003</v>
      </c>
      <c r="M309" s="1" t="s">
        <v>1013</v>
      </c>
      <c r="N309" s="1"/>
      <c r="O309" s="1" t="s">
        <v>58</v>
      </c>
      <c r="P309" s="1" t="s">
        <v>59</v>
      </c>
      <c r="Q309" s="1" t="s">
        <v>60</v>
      </c>
      <c r="R309" s="1" t="s">
        <v>61</v>
      </c>
      <c r="S309" s="1" t="s">
        <v>66</v>
      </c>
    </row>
    <row r="310" spans="1:19" ht="114">
      <c r="A310" s="1" t="s">
        <v>1014</v>
      </c>
      <c r="B310" s="1" t="s">
        <v>1005</v>
      </c>
      <c r="C310" s="1" t="s">
        <v>1005</v>
      </c>
      <c r="D310" s="1" t="s">
        <v>1005</v>
      </c>
      <c r="E310" s="1" t="s">
        <v>20</v>
      </c>
      <c r="F310" s="1" t="s">
        <v>1015</v>
      </c>
      <c r="G310" s="1" t="s">
        <v>251</v>
      </c>
      <c r="H310" s="1" t="s">
        <v>1007</v>
      </c>
      <c r="I310" s="1" t="s">
        <v>1016</v>
      </c>
      <c r="J310" s="2">
        <v>26</v>
      </c>
      <c r="K310" s="3">
        <v>42.323673300000003</v>
      </c>
      <c r="L310" s="3">
        <v>69.617199099999993</v>
      </c>
      <c r="M310" s="1" t="s">
        <v>1017</v>
      </c>
      <c r="N310" s="1" t="s">
        <v>1018</v>
      </c>
      <c r="O310" s="1" t="s">
        <v>815</v>
      </c>
      <c r="P310" s="1" t="s">
        <v>59</v>
      </c>
      <c r="Q310" s="1" t="s">
        <v>60</v>
      </c>
      <c r="R310" s="1" t="s">
        <v>61</v>
      </c>
      <c r="S310" s="1" t="s">
        <v>1011</v>
      </c>
    </row>
    <row r="311" spans="1:19" ht="22.8">
      <c r="A311" s="1" t="s">
        <v>1019</v>
      </c>
      <c r="B311" s="1" t="s">
        <v>1005</v>
      </c>
      <c r="C311" s="1" t="s">
        <v>1005</v>
      </c>
      <c r="D311" s="1" t="s">
        <v>1005</v>
      </c>
      <c r="E311" s="1" t="s">
        <v>20</v>
      </c>
      <c r="F311" s="1"/>
      <c r="G311" s="1"/>
      <c r="H311" s="1"/>
      <c r="I311" s="1"/>
      <c r="J311" s="2"/>
      <c r="K311" s="3">
        <v>42.326530200000001</v>
      </c>
      <c r="L311" s="3">
        <v>69.624779000000004</v>
      </c>
      <c r="M311" s="1" t="s">
        <v>1020</v>
      </c>
      <c r="N311" s="1"/>
      <c r="O311" s="1" t="s">
        <v>58</v>
      </c>
      <c r="P311" s="1" t="s">
        <v>59</v>
      </c>
      <c r="Q311" s="1" t="s">
        <v>60</v>
      </c>
      <c r="R311" s="1" t="s">
        <v>61</v>
      </c>
      <c r="S311" s="1" t="s">
        <v>66</v>
      </c>
    </row>
    <row r="312" spans="1:19" ht="114">
      <c r="A312" s="1" t="s">
        <v>1021</v>
      </c>
      <c r="B312" s="1" t="s">
        <v>1005</v>
      </c>
      <c r="C312" s="1" t="s">
        <v>1005</v>
      </c>
      <c r="D312" s="1" t="s">
        <v>1022</v>
      </c>
      <c r="E312" s="1" t="s">
        <v>20</v>
      </c>
      <c r="F312" s="1" t="s">
        <v>1023</v>
      </c>
      <c r="G312" s="1" t="s">
        <v>251</v>
      </c>
      <c r="H312" s="1" t="s">
        <v>1007</v>
      </c>
      <c r="I312" s="1" t="s">
        <v>1024</v>
      </c>
      <c r="J312" s="2">
        <v>26</v>
      </c>
      <c r="K312" s="3">
        <v>42.3359916</v>
      </c>
      <c r="L312" s="3">
        <v>69.632862200000005</v>
      </c>
      <c r="M312" s="1" t="s">
        <v>1025</v>
      </c>
      <c r="N312" s="1" t="s">
        <v>1026</v>
      </c>
      <c r="O312" s="1" t="s">
        <v>815</v>
      </c>
      <c r="P312" s="1" t="s">
        <v>59</v>
      </c>
      <c r="Q312" s="1" t="s">
        <v>60</v>
      </c>
      <c r="R312" s="1" t="s">
        <v>61</v>
      </c>
      <c r="S312" s="1" t="s">
        <v>1027</v>
      </c>
    </row>
    <row r="313" spans="1:19" ht="22.8">
      <c r="A313" s="1" t="s">
        <v>1028</v>
      </c>
      <c r="B313" s="1" t="s">
        <v>1005</v>
      </c>
      <c r="C313" s="1" t="s">
        <v>1005</v>
      </c>
      <c r="D313" s="1" t="s">
        <v>1005</v>
      </c>
      <c r="E313" s="1" t="s">
        <v>20</v>
      </c>
      <c r="F313" s="1"/>
      <c r="G313" s="1"/>
      <c r="H313" s="1"/>
      <c r="I313" s="1"/>
      <c r="J313" s="2"/>
      <c r="K313" s="3">
        <v>42.339819599999998</v>
      </c>
      <c r="L313" s="3">
        <v>69.643123399999993</v>
      </c>
      <c r="M313" s="1" t="s">
        <v>1029</v>
      </c>
      <c r="N313" s="1"/>
      <c r="O313" s="1" t="s">
        <v>58</v>
      </c>
      <c r="P313" s="1" t="s">
        <v>59</v>
      </c>
      <c r="Q313" s="1" t="s">
        <v>60</v>
      </c>
      <c r="R313" s="1" t="s">
        <v>61</v>
      </c>
      <c r="S313" s="1" t="s">
        <v>66</v>
      </c>
    </row>
    <row r="314" spans="1:19" ht="22.8">
      <c r="A314" s="1" t="s">
        <v>1030</v>
      </c>
      <c r="B314" s="1" t="s">
        <v>1005</v>
      </c>
      <c r="C314" s="1" t="s">
        <v>1005</v>
      </c>
      <c r="D314" s="1" t="s">
        <v>1005</v>
      </c>
      <c r="E314" s="1" t="s">
        <v>20</v>
      </c>
      <c r="F314" s="1"/>
      <c r="G314" s="1"/>
      <c r="H314" s="1"/>
      <c r="I314" s="1"/>
      <c r="J314" s="2"/>
      <c r="K314" s="3">
        <v>42.351329100000001</v>
      </c>
      <c r="L314" s="3">
        <v>69.586193699999995</v>
      </c>
      <c r="M314" s="1" t="s">
        <v>1031</v>
      </c>
      <c r="N314" s="1"/>
      <c r="O314" s="1" t="s">
        <v>58</v>
      </c>
      <c r="P314" s="1" t="s">
        <v>59</v>
      </c>
      <c r="Q314" s="1" t="s">
        <v>60</v>
      </c>
      <c r="R314" s="1" t="s">
        <v>61</v>
      </c>
      <c r="S314" s="1" t="s">
        <v>66</v>
      </c>
    </row>
    <row r="315" spans="1:19" ht="22.8">
      <c r="A315" s="1" t="s">
        <v>1032</v>
      </c>
      <c r="B315" s="1" t="s">
        <v>1005</v>
      </c>
      <c r="C315" s="1" t="s">
        <v>1005</v>
      </c>
      <c r="D315" s="1" t="s">
        <v>1005</v>
      </c>
      <c r="E315" s="1" t="s">
        <v>20</v>
      </c>
      <c r="F315" s="1"/>
      <c r="G315" s="1"/>
      <c r="H315" s="1"/>
      <c r="I315" s="1"/>
      <c r="J315" s="2"/>
      <c r="K315" s="3">
        <v>42.3587104</v>
      </c>
      <c r="L315" s="3">
        <v>69.538044799999994</v>
      </c>
      <c r="M315" s="1" t="s">
        <v>1033</v>
      </c>
      <c r="N315" s="1"/>
      <c r="O315" s="1" t="s">
        <v>58</v>
      </c>
      <c r="P315" s="1" t="s">
        <v>59</v>
      </c>
      <c r="Q315" s="1" t="s">
        <v>60</v>
      </c>
      <c r="R315" s="1" t="s">
        <v>61</v>
      </c>
      <c r="S315" s="1" t="s">
        <v>66</v>
      </c>
    </row>
    <row r="316" spans="1:19" ht="91.2">
      <c r="A316" s="1" t="s">
        <v>1034</v>
      </c>
      <c r="B316" s="1" t="s">
        <v>1035</v>
      </c>
      <c r="C316" s="1" t="s">
        <v>1035</v>
      </c>
      <c r="D316" s="1" t="s">
        <v>55</v>
      </c>
      <c r="E316" s="1" t="s">
        <v>20</v>
      </c>
      <c r="F316" s="1" t="s">
        <v>1036</v>
      </c>
      <c r="G316" s="1" t="s">
        <v>614</v>
      </c>
      <c r="H316" s="1"/>
      <c r="I316" s="1"/>
      <c r="J316" s="2"/>
      <c r="K316" s="3">
        <v>42.340656000000003</v>
      </c>
      <c r="L316" s="3">
        <v>69.615481000000003</v>
      </c>
      <c r="M316" s="1" t="s">
        <v>1037</v>
      </c>
      <c r="N316" s="1" t="s">
        <v>1038</v>
      </c>
      <c r="O316" s="1" t="s">
        <v>255</v>
      </c>
      <c r="P316" s="1" t="s">
        <v>59</v>
      </c>
      <c r="Q316" s="1" t="s">
        <v>60</v>
      </c>
      <c r="R316" s="1" t="s">
        <v>61</v>
      </c>
      <c r="S316" s="1" t="s">
        <v>66</v>
      </c>
    </row>
    <row r="317" spans="1:19" ht="22.8">
      <c r="A317" s="1" t="s">
        <v>1039</v>
      </c>
      <c r="B317" s="1" t="s">
        <v>1040</v>
      </c>
      <c r="C317" s="1" t="s">
        <v>1040</v>
      </c>
      <c r="D317" s="1" t="s">
        <v>55</v>
      </c>
      <c r="E317" s="1" t="s">
        <v>20</v>
      </c>
      <c r="F317" s="1" t="s">
        <v>97</v>
      </c>
      <c r="G317" s="1"/>
      <c r="H317" s="1"/>
      <c r="I317" s="1"/>
      <c r="J317" s="2"/>
      <c r="K317" s="3">
        <v>42.334235999999997</v>
      </c>
      <c r="L317" s="3">
        <v>69.608206199999998</v>
      </c>
      <c r="M317" s="1" t="s">
        <v>1041</v>
      </c>
      <c r="N317" s="1"/>
      <c r="O317" s="1" t="s">
        <v>58</v>
      </c>
      <c r="P317" s="1" t="s">
        <v>59</v>
      </c>
      <c r="Q317" s="1" t="s">
        <v>60</v>
      </c>
      <c r="R317" s="1" t="s">
        <v>61</v>
      </c>
      <c r="S317" s="1" t="s">
        <v>62</v>
      </c>
    </row>
    <row r="318" spans="1:19" ht="22.8">
      <c r="A318" s="1" t="s">
        <v>1042</v>
      </c>
      <c r="B318" s="1" t="s">
        <v>1043</v>
      </c>
      <c r="C318" s="1" t="s">
        <v>1043</v>
      </c>
      <c r="D318" s="1" t="s">
        <v>55</v>
      </c>
      <c r="E318" s="1" t="s">
        <v>20</v>
      </c>
      <c r="F318" s="1"/>
      <c r="G318" s="1"/>
      <c r="H318" s="1"/>
      <c r="I318" s="1"/>
      <c r="J318" s="2"/>
      <c r="K318" s="3">
        <v>42.315673199999999</v>
      </c>
      <c r="L318" s="3">
        <v>69.580677800000004</v>
      </c>
      <c r="M318" s="1" t="s">
        <v>1044</v>
      </c>
      <c r="N318" s="1"/>
      <c r="O318" s="1" t="s">
        <v>58</v>
      </c>
      <c r="P318" s="1" t="s">
        <v>59</v>
      </c>
      <c r="Q318" s="1" t="s">
        <v>60</v>
      </c>
      <c r="R318" s="1" t="s">
        <v>61</v>
      </c>
      <c r="S318" s="1" t="s">
        <v>66</v>
      </c>
    </row>
    <row r="319" spans="1:19" ht="45.6">
      <c r="A319" s="1" t="s">
        <v>1045</v>
      </c>
      <c r="B319" s="1" t="s">
        <v>1046</v>
      </c>
      <c r="C319" s="1" t="s">
        <v>1046</v>
      </c>
      <c r="D319" s="1" t="s">
        <v>55</v>
      </c>
      <c r="E319" s="1" t="s">
        <v>27</v>
      </c>
      <c r="F319" s="1" t="s">
        <v>1047</v>
      </c>
      <c r="G319" s="1"/>
      <c r="H319" s="1" t="s">
        <v>1048</v>
      </c>
      <c r="I319" s="1"/>
      <c r="J319" s="2">
        <v>1</v>
      </c>
      <c r="K319" s="3">
        <v>42.323608999999998</v>
      </c>
      <c r="L319" s="3">
        <v>69.575603000000001</v>
      </c>
      <c r="M319" s="1" t="s">
        <v>1049</v>
      </c>
      <c r="N319" s="1" t="s">
        <v>1050</v>
      </c>
      <c r="O319" s="1" t="s">
        <v>1051</v>
      </c>
      <c r="P319" s="1" t="s">
        <v>59</v>
      </c>
      <c r="Q319" s="1" t="s">
        <v>61</v>
      </c>
      <c r="R319" s="1" t="s">
        <v>61</v>
      </c>
      <c r="S319" s="1" t="s">
        <v>1052</v>
      </c>
    </row>
    <row r="320" spans="1:19" ht="45.6">
      <c r="A320" s="1" t="s">
        <v>1053</v>
      </c>
      <c r="B320" s="1" t="s">
        <v>1054</v>
      </c>
      <c r="C320" s="1" t="s">
        <v>1054</v>
      </c>
      <c r="D320" s="1" t="s">
        <v>55</v>
      </c>
      <c r="E320" s="1" t="s">
        <v>27</v>
      </c>
      <c r="F320" s="1" t="s">
        <v>1055</v>
      </c>
      <c r="G320" s="1"/>
      <c r="H320" s="1" t="s">
        <v>1056</v>
      </c>
      <c r="I320" s="1"/>
      <c r="J320" s="2">
        <v>1</v>
      </c>
      <c r="K320" s="3">
        <v>42.398293000000002</v>
      </c>
      <c r="L320" s="3">
        <v>69.613384999999994</v>
      </c>
      <c r="M320" s="1" t="s">
        <v>1057</v>
      </c>
      <c r="N320" s="1" t="s">
        <v>1058</v>
      </c>
      <c r="O320" s="1" t="s">
        <v>1051</v>
      </c>
      <c r="P320" s="1" t="s">
        <v>59</v>
      </c>
      <c r="Q320" s="1" t="s">
        <v>61</v>
      </c>
      <c r="R320" s="1" t="s">
        <v>61</v>
      </c>
      <c r="S320" s="1" t="s">
        <v>1052</v>
      </c>
    </row>
    <row r="321" spans="1:19" ht="68.400000000000006">
      <c r="A321" s="1" t="s">
        <v>1059</v>
      </c>
      <c r="B321" s="1" t="s">
        <v>1060</v>
      </c>
      <c r="C321" s="1" t="s">
        <v>1060</v>
      </c>
      <c r="D321" s="1" t="s">
        <v>1060</v>
      </c>
      <c r="E321" s="1" t="s">
        <v>27</v>
      </c>
      <c r="F321" s="1" t="s">
        <v>1061</v>
      </c>
      <c r="G321" s="1"/>
      <c r="H321" s="1" t="s">
        <v>1062</v>
      </c>
      <c r="I321" s="1" t="s">
        <v>1063</v>
      </c>
      <c r="J321" s="2">
        <v>14</v>
      </c>
      <c r="K321" s="3">
        <v>42.378753000000003</v>
      </c>
      <c r="L321" s="3">
        <v>69.595652999999999</v>
      </c>
      <c r="M321" s="1" t="s">
        <v>1064</v>
      </c>
      <c r="N321" s="1" t="s">
        <v>1050</v>
      </c>
      <c r="O321" s="1" t="s">
        <v>1065</v>
      </c>
      <c r="P321" s="1" t="s">
        <v>59</v>
      </c>
      <c r="Q321" s="1" t="s">
        <v>61</v>
      </c>
      <c r="R321" s="1" t="s">
        <v>61</v>
      </c>
      <c r="S321" s="1" t="s">
        <v>1066</v>
      </c>
    </row>
    <row r="322" spans="1:19" ht="22.8">
      <c r="A322" s="1" t="s">
        <v>1067</v>
      </c>
      <c r="B322" s="1" t="s">
        <v>587</v>
      </c>
      <c r="C322" s="1" t="s">
        <v>587</v>
      </c>
      <c r="D322" s="1" t="s">
        <v>587</v>
      </c>
      <c r="E322" s="1" t="s">
        <v>27</v>
      </c>
      <c r="F322" s="1"/>
      <c r="G322" s="1"/>
      <c r="H322" s="1"/>
      <c r="I322" s="1"/>
      <c r="J322" s="2"/>
      <c r="K322" s="3">
        <v>42.3383386</v>
      </c>
      <c r="L322" s="3">
        <v>69.505240000000001</v>
      </c>
      <c r="M322" s="1" t="s">
        <v>1068</v>
      </c>
      <c r="N322" s="1"/>
      <c r="O322" s="1" t="s">
        <v>58</v>
      </c>
      <c r="P322" s="1" t="s">
        <v>59</v>
      </c>
      <c r="Q322" s="1" t="s">
        <v>60</v>
      </c>
      <c r="R322" s="1" t="s">
        <v>61</v>
      </c>
      <c r="S322" s="1" t="s">
        <v>66</v>
      </c>
    </row>
    <row r="323" spans="1:19" ht="45.6">
      <c r="A323" s="1" t="s">
        <v>1069</v>
      </c>
      <c r="B323" s="1" t="s">
        <v>1070</v>
      </c>
      <c r="C323" s="1" t="s">
        <v>1070</v>
      </c>
      <c r="D323" s="1" t="s">
        <v>1070</v>
      </c>
      <c r="E323" s="1" t="s">
        <v>27</v>
      </c>
      <c r="F323" s="1" t="s">
        <v>1071</v>
      </c>
      <c r="G323" s="1"/>
      <c r="H323" s="1" t="s">
        <v>1072</v>
      </c>
      <c r="I323" s="1"/>
      <c r="J323" s="2">
        <v>3</v>
      </c>
      <c r="K323" s="3">
        <v>42.357444000000001</v>
      </c>
      <c r="L323" s="3">
        <v>69.646772999999996</v>
      </c>
      <c r="M323" s="1" t="s">
        <v>1073</v>
      </c>
      <c r="N323" s="1" t="s">
        <v>1050</v>
      </c>
      <c r="O323" s="1" t="s">
        <v>1051</v>
      </c>
      <c r="P323" s="1" t="s">
        <v>59</v>
      </c>
      <c r="Q323" s="1" t="s">
        <v>61</v>
      </c>
      <c r="R323" s="1" t="s">
        <v>61</v>
      </c>
      <c r="S323" s="1" t="s">
        <v>1052</v>
      </c>
    </row>
    <row r="324" spans="1:19" ht="45.6">
      <c r="A324" s="1" t="s">
        <v>1074</v>
      </c>
      <c r="B324" s="1" t="s">
        <v>1075</v>
      </c>
      <c r="C324" s="1" t="s">
        <v>1075</v>
      </c>
      <c r="D324" s="1" t="s">
        <v>55</v>
      </c>
      <c r="E324" s="1" t="s">
        <v>27</v>
      </c>
      <c r="F324" s="1" t="s">
        <v>1076</v>
      </c>
      <c r="G324" s="1"/>
      <c r="H324" s="1" t="s">
        <v>1072</v>
      </c>
      <c r="I324" s="1"/>
      <c r="J324" s="2">
        <v>1</v>
      </c>
      <c r="K324" s="3">
        <v>42.346189000000003</v>
      </c>
      <c r="L324" s="3">
        <v>69.678073999999995</v>
      </c>
      <c r="M324" s="1" t="s">
        <v>1077</v>
      </c>
      <c r="N324" s="1" t="s">
        <v>1078</v>
      </c>
      <c r="O324" s="1" t="s">
        <v>1051</v>
      </c>
      <c r="P324" s="1" t="s">
        <v>59</v>
      </c>
      <c r="Q324" s="1" t="s">
        <v>61</v>
      </c>
      <c r="R324" s="1" t="s">
        <v>61</v>
      </c>
      <c r="S324" s="1" t="s">
        <v>1052</v>
      </c>
    </row>
    <row r="325" spans="1:19" ht="45.6">
      <c r="A325" s="1" t="s">
        <v>1079</v>
      </c>
      <c r="B325" s="1" t="s">
        <v>1080</v>
      </c>
      <c r="C325" s="1" t="s">
        <v>1080</v>
      </c>
      <c r="D325" s="1" t="s">
        <v>55</v>
      </c>
      <c r="E325" s="1" t="s">
        <v>27</v>
      </c>
      <c r="F325" s="1" t="s">
        <v>1081</v>
      </c>
      <c r="G325" s="1"/>
      <c r="H325" s="1" t="s">
        <v>1082</v>
      </c>
      <c r="I325" s="1"/>
      <c r="J325" s="2">
        <v>1</v>
      </c>
      <c r="K325" s="3">
        <v>42.394936999999999</v>
      </c>
      <c r="L325" s="3">
        <v>69.679886999999994</v>
      </c>
      <c r="M325" s="1" t="s">
        <v>1083</v>
      </c>
      <c r="N325" s="1" t="s">
        <v>1058</v>
      </c>
      <c r="O325" s="1" t="s">
        <v>1051</v>
      </c>
      <c r="P325" s="1" t="s">
        <v>59</v>
      </c>
      <c r="Q325" s="1" t="s">
        <v>61</v>
      </c>
      <c r="R325" s="1" t="s">
        <v>61</v>
      </c>
      <c r="S325" s="1" t="s">
        <v>1052</v>
      </c>
    </row>
    <row r="326" spans="1:19" ht="22.8">
      <c r="A326" s="1" t="s">
        <v>1084</v>
      </c>
      <c r="B326" s="1" t="s">
        <v>1085</v>
      </c>
      <c r="C326" s="1" t="s">
        <v>1085</v>
      </c>
      <c r="D326" s="1" t="s">
        <v>55</v>
      </c>
      <c r="E326" s="1" t="s">
        <v>27</v>
      </c>
      <c r="F326" s="1" t="s">
        <v>1086</v>
      </c>
      <c r="G326" s="1"/>
      <c r="H326" s="1" t="s">
        <v>1087</v>
      </c>
      <c r="I326" s="1"/>
      <c r="J326" s="2">
        <v>1</v>
      </c>
      <c r="K326" s="3">
        <v>42.343966000000002</v>
      </c>
      <c r="L326" s="3">
        <v>69.638434000000004</v>
      </c>
      <c r="M326" s="1" t="s">
        <v>1088</v>
      </c>
      <c r="N326" s="1"/>
      <c r="O326" s="1" t="s">
        <v>1051</v>
      </c>
      <c r="P326" s="1" t="s">
        <v>59</v>
      </c>
      <c r="Q326" s="1" t="s">
        <v>61</v>
      </c>
      <c r="R326" s="1" t="s">
        <v>61</v>
      </c>
      <c r="S326" s="1" t="s">
        <v>1052</v>
      </c>
    </row>
    <row r="327" spans="1:19" ht="45.6">
      <c r="A327" s="1" t="s">
        <v>1089</v>
      </c>
      <c r="B327" s="1" t="s">
        <v>1090</v>
      </c>
      <c r="C327" s="1" t="s">
        <v>1090</v>
      </c>
      <c r="D327" s="1" t="s">
        <v>55</v>
      </c>
      <c r="E327" s="1" t="s">
        <v>27</v>
      </c>
      <c r="F327" s="1" t="s">
        <v>1091</v>
      </c>
      <c r="G327" s="1"/>
      <c r="H327" s="1" t="s">
        <v>1092</v>
      </c>
      <c r="I327" s="1"/>
      <c r="J327" s="2">
        <v>1</v>
      </c>
      <c r="K327" s="3">
        <v>42.286822999999998</v>
      </c>
      <c r="L327" s="3">
        <v>69.604360999999997</v>
      </c>
      <c r="M327" s="1" t="s">
        <v>1093</v>
      </c>
      <c r="N327" s="1" t="s">
        <v>1094</v>
      </c>
      <c r="O327" s="1" t="s">
        <v>1051</v>
      </c>
      <c r="P327" s="1" t="s">
        <v>59</v>
      </c>
      <c r="Q327" s="1" t="s">
        <v>61</v>
      </c>
      <c r="R327" s="1" t="s">
        <v>61</v>
      </c>
      <c r="S327" s="1" t="s">
        <v>1052</v>
      </c>
    </row>
    <row r="328" spans="1:19" ht="45.6">
      <c r="A328" s="1" t="s">
        <v>1095</v>
      </c>
      <c r="B328" s="1" t="s">
        <v>1096</v>
      </c>
      <c r="C328" s="1" t="s">
        <v>1096</v>
      </c>
      <c r="D328" s="1" t="s">
        <v>55</v>
      </c>
      <c r="E328" s="1" t="s">
        <v>27</v>
      </c>
      <c r="F328" s="1" t="s">
        <v>1097</v>
      </c>
      <c r="G328" s="1"/>
      <c r="H328" s="1" t="s">
        <v>1098</v>
      </c>
      <c r="I328" s="1"/>
      <c r="J328" s="2">
        <v>1</v>
      </c>
      <c r="K328" s="3">
        <v>42.303744000000002</v>
      </c>
      <c r="L328" s="3">
        <v>69.602808999999993</v>
      </c>
      <c r="M328" s="1" t="s">
        <v>1099</v>
      </c>
      <c r="N328" s="1" t="s">
        <v>1094</v>
      </c>
      <c r="O328" s="1" t="s">
        <v>1051</v>
      </c>
      <c r="P328" s="1" t="s">
        <v>59</v>
      </c>
      <c r="Q328" s="1" t="s">
        <v>61</v>
      </c>
      <c r="R328" s="1" t="s">
        <v>61</v>
      </c>
      <c r="S328" s="1" t="s">
        <v>1052</v>
      </c>
    </row>
    <row r="329" spans="1:19" ht="45.6">
      <c r="A329" s="1" t="s">
        <v>1100</v>
      </c>
      <c r="B329" s="1" t="s">
        <v>1101</v>
      </c>
      <c r="C329" s="1" t="s">
        <v>1101</v>
      </c>
      <c r="D329" s="1" t="s">
        <v>55</v>
      </c>
      <c r="E329" s="1" t="s">
        <v>27</v>
      </c>
      <c r="F329" s="1" t="s">
        <v>1102</v>
      </c>
      <c r="G329" s="1"/>
      <c r="H329" s="1" t="s">
        <v>1103</v>
      </c>
      <c r="I329" s="1"/>
      <c r="J329" s="2">
        <v>1</v>
      </c>
      <c r="K329" s="3">
        <v>42.315061999999998</v>
      </c>
      <c r="L329" s="3">
        <v>69.612568999999993</v>
      </c>
      <c r="M329" s="1" t="s">
        <v>1104</v>
      </c>
      <c r="N329" s="1" t="s">
        <v>1050</v>
      </c>
      <c r="O329" s="1" t="s">
        <v>1051</v>
      </c>
      <c r="P329" s="1" t="s">
        <v>59</v>
      </c>
      <c r="Q329" s="1" t="s">
        <v>61</v>
      </c>
      <c r="R329" s="1" t="s">
        <v>61</v>
      </c>
      <c r="S329" s="1" t="s">
        <v>1052</v>
      </c>
    </row>
    <row r="330" spans="1:19" ht="45.6">
      <c r="A330" s="1" t="s">
        <v>1105</v>
      </c>
      <c r="B330" s="1" t="s">
        <v>1106</v>
      </c>
      <c r="C330" s="1" t="s">
        <v>1106</v>
      </c>
      <c r="D330" s="1" t="s">
        <v>55</v>
      </c>
      <c r="E330" s="1" t="s">
        <v>27</v>
      </c>
      <c r="F330" s="1" t="s">
        <v>1107</v>
      </c>
      <c r="G330" s="1"/>
      <c r="H330" s="1" t="s">
        <v>1108</v>
      </c>
      <c r="I330" s="1"/>
      <c r="J330" s="2">
        <v>1</v>
      </c>
      <c r="K330" s="3">
        <v>42.322243999999998</v>
      </c>
      <c r="L330" s="3">
        <v>69.603007000000005</v>
      </c>
      <c r="M330" s="1" t="s">
        <v>1109</v>
      </c>
      <c r="N330" s="1" t="s">
        <v>1078</v>
      </c>
      <c r="O330" s="1" t="s">
        <v>1051</v>
      </c>
      <c r="P330" s="1" t="s">
        <v>59</v>
      </c>
      <c r="Q330" s="1" t="s">
        <v>61</v>
      </c>
      <c r="R330" s="1" t="s">
        <v>61</v>
      </c>
      <c r="S330" s="1" t="s">
        <v>1052</v>
      </c>
    </row>
    <row r="331" spans="1:19" ht="22.8">
      <c r="A331" s="1" t="s">
        <v>1110</v>
      </c>
      <c r="B331" s="1" t="s">
        <v>1111</v>
      </c>
      <c r="C331" s="1" t="s">
        <v>1111</v>
      </c>
      <c r="D331" s="1" t="s">
        <v>55</v>
      </c>
      <c r="E331" s="1" t="s">
        <v>27</v>
      </c>
      <c r="F331" s="1" t="s">
        <v>1112</v>
      </c>
      <c r="G331" s="1"/>
      <c r="H331" s="1" t="s">
        <v>1113</v>
      </c>
      <c r="I331" s="1"/>
      <c r="J331" s="2">
        <v>1</v>
      </c>
      <c r="K331" s="3">
        <v>42.311633999999998</v>
      </c>
      <c r="L331" s="3">
        <v>69.583259999999996</v>
      </c>
      <c r="M331" s="1" t="s">
        <v>1114</v>
      </c>
      <c r="N331" s="1"/>
      <c r="O331" s="1" t="s">
        <v>1051</v>
      </c>
      <c r="P331" s="1" t="s">
        <v>59</v>
      </c>
      <c r="Q331" s="1" t="s">
        <v>61</v>
      </c>
      <c r="R331" s="1" t="s">
        <v>61</v>
      </c>
      <c r="S331" s="1" t="s">
        <v>1052</v>
      </c>
    </row>
    <row r="332" spans="1:19" ht="22.8">
      <c r="A332" s="1" t="s">
        <v>1115</v>
      </c>
      <c r="B332" s="1" t="s">
        <v>1116</v>
      </c>
      <c r="C332" s="1" t="s">
        <v>1116</v>
      </c>
      <c r="D332" s="1" t="s">
        <v>55</v>
      </c>
      <c r="E332" s="1" t="s">
        <v>29</v>
      </c>
      <c r="F332" s="1" t="s">
        <v>1117</v>
      </c>
      <c r="G332" s="1"/>
      <c r="H332" s="1" t="s">
        <v>1118</v>
      </c>
      <c r="I332" s="1"/>
      <c r="J332" s="2">
        <v>1</v>
      </c>
      <c r="K332" s="3">
        <v>42.351519000000003</v>
      </c>
      <c r="L332" s="3">
        <v>69.659592000000004</v>
      </c>
      <c r="M332" s="1" t="s">
        <v>1119</v>
      </c>
      <c r="N332" s="1"/>
      <c r="O332" s="1" t="s">
        <v>1051</v>
      </c>
      <c r="P332" s="1" t="s">
        <v>59</v>
      </c>
      <c r="Q332" s="1" t="s">
        <v>61</v>
      </c>
      <c r="R332" s="1" t="s">
        <v>61</v>
      </c>
      <c r="S332" s="1" t="s">
        <v>1052</v>
      </c>
    </row>
    <row r="333" spans="1:19" ht="22.8">
      <c r="A333" s="1" t="s">
        <v>1120</v>
      </c>
      <c r="B333" s="1" t="s">
        <v>572</v>
      </c>
      <c r="C333" s="1" t="s">
        <v>572</v>
      </c>
      <c r="D333" s="1" t="s">
        <v>1121</v>
      </c>
      <c r="E333" s="1" t="s">
        <v>29</v>
      </c>
      <c r="F333" s="1" t="s">
        <v>1122</v>
      </c>
      <c r="G333" s="1"/>
      <c r="H333" s="1" t="s">
        <v>1123</v>
      </c>
      <c r="I333" s="1"/>
      <c r="J333" s="2">
        <v>1</v>
      </c>
      <c r="K333" s="3">
        <v>42.325099000000002</v>
      </c>
      <c r="L333" s="3">
        <v>69.561910999999995</v>
      </c>
      <c r="M333" s="1" t="s">
        <v>1124</v>
      </c>
      <c r="N333" s="1"/>
      <c r="O333" s="1" t="s">
        <v>1051</v>
      </c>
      <c r="P333" s="1" t="s">
        <v>59</v>
      </c>
      <c r="Q333" s="1" t="s">
        <v>61</v>
      </c>
      <c r="R333" s="1" t="s">
        <v>61</v>
      </c>
      <c r="S333" s="1" t="s">
        <v>1052</v>
      </c>
    </row>
    <row r="334" spans="1:19" ht="22.8">
      <c r="A334" s="1" t="s">
        <v>1125</v>
      </c>
      <c r="B334" s="1" t="s">
        <v>1126</v>
      </c>
      <c r="C334" s="1" t="s">
        <v>1126</v>
      </c>
      <c r="D334" s="1" t="s">
        <v>55</v>
      </c>
      <c r="E334" s="1" t="s">
        <v>29</v>
      </c>
      <c r="F334" s="1" t="s">
        <v>1127</v>
      </c>
      <c r="G334" s="1"/>
      <c r="H334" s="1" t="s">
        <v>1128</v>
      </c>
      <c r="I334" s="1"/>
      <c r="J334" s="2">
        <v>1</v>
      </c>
      <c r="K334" s="3">
        <v>42.367669999999997</v>
      </c>
      <c r="L334" s="3">
        <v>69.603178</v>
      </c>
      <c r="M334" s="1" t="s">
        <v>1129</v>
      </c>
      <c r="N334" s="1" t="s">
        <v>1130</v>
      </c>
      <c r="O334" s="1" t="s">
        <v>1131</v>
      </c>
      <c r="P334" s="1" t="s">
        <v>59</v>
      </c>
      <c r="Q334" s="1" t="s">
        <v>61</v>
      </c>
      <c r="R334" s="1" t="s">
        <v>61</v>
      </c>
      <c r="S334" s="1" t="s">
        <v>1132</v>
      </c>
    </row>
    <row r="335" spans="1:19" ht="22.8">
      <c r="A335" s="1" t="s">
        <v>1133</v>
      </c>
      <c r="B335" s="1" t="s">
        <v>678</v>
      </c>
      <c r="C335" s="1" t="s">
        <v>678</v>
      </c>
      <c r="D335" s="1" t="s">
        <v>1134</v>
      </c>
      <c r="E335" s="1" t="s">
        <v>29</v>
      </c>
      <c r="F335" s="1" t="s">
        <v>1135</v>
      </c>
      <c r="G335" s="1"/>
      <c r="H335" s="1" t="s">
        <v>1136</v>
      </c>
      <c r="I335" s="1"/>
      <c r="J335" s="2">
        <v>1</v>
      </c>
      <c r="K335" s="3">
        <v>42.367103999999998</v>
      </c>
      <c r="L335" s="3">
        <v>69.589800999999994</v>
      </c>
      <c r="M335" s="1" t="s">
        <v>1137</v>
      </c>
      <c r="N335" s="1"/>
      <c r="O335" s="1" t="s">
        <v>1051</v>
      </c>
      <c r="P335" s="1" t="s">
        <v>59</v>
      </c>
      <c r="Q335" s="1" t="s">
        <v>61</v>
      </c>
      <c r="R335" s="1" t="s">
        <v>61</v>
      </c>
      <c r="S335" s="1" t="s">
        <v>1052</v>
      </c>
    </row>
    <row r="336" spans="1:19" ht="22.8">
      <c r="A336" s="1" t="s">
        <v>1138</v>
      </c>
      <c r="B336" s="1" t="s">
        <v>1139</v>
      </c>
      <c r="C336" s="1" t="s">
        <v>1139</v>
      </c>
      <c r="D336" s="1" t="s">
        <v>1140</v>
      </c>
      <c r="E336" s="1" t="s">
        <v>29</v>
      </c>
      <c r="F336" s="1" t="s">
        <v>1141</v>
      </c>
      <c r="G336" s="1"/>
      <c r="H336" s="1"/>
      <c r="I336" s="1"/>
      <c r="J336" s="2">
        <v>1</v>
      </c>
      <c r="K336" s="3">
        <v>42.396056999999999</v>
      </c>
      <c r="L336" s="3">
        <v>69.588156999999995</v>
      </c>
      <c r="M336" s="1" t="s">
        <v>1142</v>
      </c>
      <c r="N336" s="1"/>
      <c r="O336" s="1" t="s">
        <v>1051</v>
      </c>
      <c r="P336" s="1" t="s">
        <v>59</v>
      </c>
      <c r="Q336" s="1" t="s">
        <v>61</v>
      </c>
      <c r="R336" s="1" t="s">
        <v>61</v>
      </c>
      <c r="S336" s="1" t="s">
        <v>1052</v>
      </c>
    </row>
    <row r="337" spans="1:19" ht="22.8">
      <c r="A337" s="1" t="s">
        <v>1143</v>
      </c>
      <c r="B337" s="1" t="s">
        <v>787</v>
      </c>
      <c r="C337" s="1" t="s">
        <v>787</v>
      </c>
      <c r="D337" s="1" t="s">
        <v>1144</v>
      </c>
      <c r="E337" s="1" t="s">
        <v>29</v>
      </c>
      <c r="F337" s="1" t="s">
        <v>1145</v>
      </c>
      <c r="G337" s="1"/>
      <c r="H337" s="1" t="s">
        <v>1146</v>
      </c>
      <c r="I337" s="1"/>
      <c r="J337" s="2">
        <v>1</v>
      </c>
      <c r="K337" s="3">
        <v>42.261004</v>
      </c>
      <c r="L337" s="3">
        <v>69.624837999999997</v>
      </c>
      <c r="M337" s="1" t="s">
        <v>1147</v>
      </c>
      <c r="N337" s="1"/>
      <c r="O337" s="1" t="s">
        <v>1051</v>
      </c>
      <c r="P337" s="1" t="s">
        <v>59</v>
      </c>
      <c r="Q337" s="1" t="s">
        <v>61</v>
      </c>
      <c r="R337" s="1" t="s">
        <v>61</v>
      </c>
      <c r="S337" s="1" t="s">
        <v>1052</v>
      </c>
    </row>
    <row r="338" spans="1:19" ht="45.6">
      <c r="A338" s="1" t="s">
        <v>1148</v>
      </c>
      <c r="B338" s="1" t="s">
        <v>1149</v>
      </c>
      <c r="C338" s="1" t="s">
        <v>1149</v>
      </c>
      <c r="D338" s="1" t="s">
        <v>55</v>
      </c>
      <c r="E338" s="1" t="s">
        <v>29</v>
      </c>
      <c r="F338" s="1" t="s">
        <v>1150</v>
      </c>
      <c r="G338" s="1"/>
      <c r="H338" s="1" t="s">
        <v>1151</v>
      </c>
      <c r="I338" s="1"/>
      <c r="J338" s="2">
        <v>1</v>
      </c>
      <c r="K338" s="3">
        <v>42.307637</v>
      </c>
      <c r="L338" s="3">
        <v>69.571333999999993</v>
      </c>
      <c r="M338" s="1" t="s">
        <v>1152</v>
      </c>
      <c r="N338" s="1" t="s">
        <v>1050</v>
      </c>
      <c r="O338" s="1" t="s">
        <v>1051</v>
      </c>
      <c r="P338" s="1" t="s">
        <v>59</v>
      </c>
      <c r="Q338" s="1" t="s">
        <v>61</v>
      </c>
      <c r="R338" s="1" t="s">
        <v>61</v>
      </c>
      <c r="S338" s="1" t="s">
        <v>1052</v>
      </c>
    </row>
    <row r="339" spans="1:19" ht="79.8">
      <c r="A339" s="1" t="s">
        <v>1153</v>
      </c>
      <c r="B339" s="1" t="s">
        <v>1154</v>
      </c>
      <c r="C339" s="1" t="s">
        <v>1154</v>
      </c>
      <c r="D339" s="1" t="s">
        <v>1154</v>
      </c>
      <c r="E339" s="1" t="s">
        <v>29</v>
      </c>
      <c r="F339" s="1" t="s">
        <v>1155</v>
      </c>
      <c r="G339" s="1" t="s">
        <v>251</v>
      </c>
      <c r="H339" s="1" t="s">
        <v>1156</v>
      </c>
      <c r="I339" s="1" t="s">
        <v>1157</v>
      </c>
      <c r="J339" s="2">
        <v>3</v>
      </c>
      <c r="K339" s="3">
        <v>42.341465999999997</v>
      </c>
      <c r="L339" s="3">
        <v>69.644233</v>
      </c>
      <c r="M339" s="1" t="s">
        <v>1158</v>
      </c>
      <c r="N339" s="1" t="s">
        <v>1159</v>
      </c>
      <c r="O339" s="1" t="s">
        <v>1065</v>
      </c>
      <c r="P339" s="1" t="s">
        <v>59</v>
      </c>
      <c r="Q339" s="1" t="s">
        <v>61</v>
      </c>
      <c r="R339" s="1" t="s">
        <v>61</v>
      </c>
      <c r="S339" s="1" t="s">
        <v>1160</v>
      </c>
    </row>
    <row r="340" spans="1:19" ht="79.8">
      <c r="A340" s="1" t="s">
        <v>1161</v>
      </c>
      <c r="B340" s="1" t="s">
        <v>1162</v>
      </c>
      <c r="C340" s="1" t="s">
        <v>1162</v>
      </c>
      <c r="D340" s="1" t="s">
        <v>1162</v>
      </c>
      <c r="E340" s="1" t="s">
        <v>22</v>
      </c>
      <c r="F340" s="1" t="s">
        <v>1163</v>
      </c>
      <c r="G340" s="1" t="s">
        <v>403</v>
      </c>
      <c r="H340" s="1" t="s">
        <v>1164</v>
      </c>
      <c r="I340" s="1" t="s">
        <v>1165</v>
      </c>
      <c r="J340" s="2">
        <v>2</v>
      </c>
      <c r="K340" s="3">
        <v>42.36354</v>
      </c>
      <c r="L340" s="3">
        <v>69.598842000000005</v>
      </c>
      <c r="M340" s="1" t="s">
        <v>1166</v>
      </c>
      <c r="N340" s="1" t="s">
        <v>1167</v>
      </c>
      <c r="O340" s="1" t="s">
        <v>1065</v>
      </c>
      <c r="P340" s="1" t="s">
        <v>59</v>
      </c>
      <c r="Q340" s="1" t="s">
        <v>61</v>
      </c>
      <c r="R340" s="1" t="s">
        <v>61</v>
      </c>
      <c r="S340" s="1" t="s">
        <v>1168</v>
      </c>
    </row>
    <row r="341" spans="1:19" ht="22.8">
      <c r="A341" s="1" t="s">
        <v>1169</v>
      </c>
      <c r="B341" s="1" t="s">
        <v>1170</v>
      </c>
      <c r="C341" s="1" t="s">
        <v>1170</v>
      </c>
      <c r="D341" s="1" t="s">
        <v>55</v>
      </c>
      <c r="E341" s="1" t="s">
        <v>22</v>
      </c>
      <c r="F341" s="1"/>
      <c r="G341" s="1"/>
      <c r="H341" s="1"/>
      <c r="I341" s="1"/>
      <c r="J341" s="2"/>
      <c r="K341" s="3">
        <v>42.300933999999998</v>
      </c>
      <c r="L341" s="3">
        <v>69.586371999999997</v>
      </c>
      <c r="M341" s="1" t="s">
        <v>1171</v>
      </c>
      <c r="N341" s="1"/>
      <c r="O341" s="1" t="s">
        <v>58</v>
      </c>
      <c r="P341" s="1" t="s">
        <v>59</v>
      </c>
      <c r="Q341" s="1" t="s">
        <v>60</v>
      </c>
      <c r="R341" s="1" t="s">
        <v>61</v>
      </c>
      <c r="S341" s="1" t="s">
        <v>66</v>
      </c>
    </row>
    <row r="342" spans="1:19" ht="22.8">
      <c r="A342" s="1" t="s">
        <v>1172</v>
      </c>
      <c r="B342" s="1" t="s">
        <v>1173</v>
      </c>
      <c r="C342" s="1" t="s">
        <v>1173</v>
      </c>
      <c r="D342" s="1" t="s">
        <v>55</v>
      </c>
      <c r="E342" s="1" t="s">
        <v>22</v>
      </c>
      <c r="F342" s="1" t="s">
        <v>1174</v>
      </c>
      <c r="G342" s="1"/>
      <c r="H342" s="1"/>
      <c r="I342" s="1"/>
      <c r="J342" s="2"/>
      <c r="K342" s="3">
        <v>42.309048699999998</v>
      </c>
      <c r="L342" s="3">
        <v>69.614069099999995</v>
      </c>
      <c r="M342" s="1" t="s">
        <v>1175</v>
      </c>
      <c r="N342" s="1"/>
      <c r="O342" s="1" t="s">
        <v>58</v>
      </c>
      <c r="P342" s="1" t="s">
        <v>59</v>
      </c>
      <c r="Q342" s="1" t="s">
        <v>60</v>
      </c>
      <c r="R342" s="1" t="s">
        <v>61</v>
      </c>
      <c r="S342" s="1" t="s">
        <v>62</v>
      </c>
    </row>
    <row r="343" spans="1:19" ht="22.8">
      <c r="A343" s="1" t="s">
        <v>1176</v>
      </c>
      <c r="B343" s="1" t="s">
        <v>1177</v>
      </c>
      <c r="C343" s="1" t="s">
        <v>1177</v>
      </c>
      <c r="D343" s="1" t="s">
        <v>1177</v>
      </c>
      <c r="E343" s="1" t="s">
        <v>22</v>
      </c>
      <c r="F343" s="1"/>
      <c r="G343" s="1"/>
      <c r="H343" s="1"/>
      <c r="I343" s="1"/>
      <c r="J343" s="2"/>
      <c r="K343" s="3">
        <v>42.342827700000001</v>
      </c>
      <c r="L343" s="3">
        <v>69.624055600000005</v>
      </c>
      <c r="M343" s="1" t="s">
        <v>1178</v>
      </c>
      <c r="N343" s="1"/>
      <c r="O343" s="1" t="s">
        <v>58</v>
      </c>
      <c r="P343" s="1" t="s">
        <v>59</v>
      </c>
      <c r="Q343" s="1" t="s">
        <v>60</v>
      </c>
      <c r="R343" s="1" t="s">
        <v>61</v>
      </c>
      <c r="S343" s="1" t="s">
        <v>66</v>
      </c>
    </row>
    <row r="344" spans="1:19" ht="91.2">
      <c r="A344" s="1" t="s">
        <v>1179</v>
      </c>
      <c r="B344" s="1" t="s">
        <v>213</v>
      </c>
      <c r="C344" s="1" t="s">
        <v>213</v>
      </c>
      <c r="D344" s="1" t="s">
        <v>213</v>
      </c>
      <c r="E344" s="1" t="s">
        <v>22</v>
      </c>
      <c r="F344" s="1" t="s">
        <v>1180</v>
      </c>
      <c r="G344" s="1" t="s">
        <v>403</v>
      </c>
      <c r="H344" s="1" t="s">
        <v>1181</v>
      </c>
      <c r="I344" s="1"/>
      <c r="J344" s="2"/>
      <c r="K344" s="3">
        <v>42.340899999999998</v>
      </c>
      <c r="L344" s="3">
        <v>69.543656400000003</v>
      </c>
      <c r="M344" s="1" t="s">
        <v>1182</v>
      </c>
      <c r="N344" s="1" t="s">
        <v>1183</v>
      </c>
      <c r="O344" s="1" t="s">
        <v>255</v>
      </c>
      <c r="P344" s="1" t="s">
        <v>59</v>
      </c>
      <c r="Q344" s="1" t="s">
        <v>60</v>
      </c>
      <c r="R344" s="1" t="s">
        <v>61</v>
      </c>
      <c r="S344" s="1" t="s">
        <v>407</v>
      </c>
    </row>
    <row r="345" spans="1:19" ht="91.2">
      <c r="A345" s="1" t="s">
        <v>1184</v>
      </c>
      <c r="B345" s="1" t="s">
        <v>249</v>
      </c>
      <c r="C345" s="1" t="s">
        <v>249</v>
      </c>
      <c r="D345" s="1" t="s">
        <v>249</v>
      </c>
      <c r="E345" s="1" t="s">
        <v>22</v>
      </c>
      <c r="F345" s="1" t="s">
        <v>281</v>
      </c>
      <c r="G345" s="1" t="s">
        <v>251</v>
      </c>
      <c r="H345" s="1"/>
      <c r="I345" s="1"/>
      <c r="J345" s="2"/>
      <c r="K345" s="3">
        <v>42.3433584</v>
      </c>
      <c r="L345" s="3">
        <v>69.636518199999998</v>
      </c>
      <c r="M345" s="1" t="s">
        <v>1185</v>
      </c>
      <c r="N345" s="1" t="s">
        <v>1186</v>
      </c>
      <c r="O345" s="1" t="s">
        <v>255</v>
      </c>
      <c r="P345" s="1" t="s">
        <v>59</v>
      </c>
      <c r="Q345" s="1" t="s">
        <v>60</v>
      </c>
      <c r="R345" s="1" t="s">
        <v>61</v>
      </c>
      <c r="S345" s="1" t="s">
        <v>62</v>
      </c>
    </row>
    <row r="346" spans="1:19" ht="22.8">
      <c r="A346" s="1" t="s">
        <v>1187</v>
      </c>
      <c r="B346" s="1" t="s">
        <v>1188</v>
      </c>
      <c r="C346" s="1" t="s">
        <v>1188</v>
      </c>
      <c r="D346" s="1" t="s">
        <v>55</v>
      </c>
      <c r="E346" s="1" t="s">
        <v>22</v>
      </c>
      <c r="F346" s="1"/>
      <c r="G346" s="1"/>
      <c r="H346" s="1"/>
      <c r="I346" s="1"/>
      <c r="J346" s="2"/>
      <c r="K346" s="3">
        <v>42.317961799999999</v>
      </c>
      <c r="L346" s="3">
        <v>69.645561299999997</v>
      </c>
      <c r="M346" s="1" t="s">
        <v>1189</v>
      </c>
      <c r="N346" s="1"/>
      <c r="O346" s="1" t="s">
        <v>58</v>
      </c>
      <c r="P346" s="1" t="s">
        <v>59</v>
      </c>
      <c r="Q346" s="1" t="s">
        <v>60</v>
      </c>
      <c r="R346" s="1" t="s">
        <v>61</v>
      </c>
      <c r="S346" s="1" t="s">
        <v>66</v>
      </c>
    </row>
    <row r="347" spans="1:19" ht="22.8">
      <c r="A347" s="1" t="s">
        <v>1190</v>
      </c>
      <c r="B347" s="1" t="s">
        <v>1191</v>
      </c>
      <c r="C347" s="1" t="s">
        <v>1191</v>
      </c>
      <c r="D347" s="1" t="s">
        <v>1191</v>
      </c>
      <c r="E347" s="1" t="s">
        <v>22</v>
      </c>
      <c r="F347" s="1" t="s">
        <v>1192</v>
      </c>
      <c r="G347" s="1"/>
      <c r="H347" s="1"/>
      <c r="I347" s="1"/>
      <c r="J347" s="2"/>
      <c r="K347" s="3">
        <v>42.324314899999997</v>
      </c>
      <c r="L347" s="3">
        <v>69.594392499999998</v>
      </c>
      <c r="M347" s="1" t="s">
        <v>1193</v>
      </c>
      <c r="N347" s="1"/>
      <c r="O347" s="1" t="s">
        <v>58</v>
      </c>
      <c r="P347" s="1" t="s">
        <v>59</v>
      </c>
      <c r="Q347" s="1" t="s">
        <v>60</v>
      </c>
      <c r="R347" s="1" t="s">
        <v>61</v>
      </c>
      <c r="S347" s="1" t="s">
        <v>62</v>
      </c>
    </row>
    <row r="348" spans="1:19" ht="91.2">
      <c r="A348" s="1" t="s">
        <v>1194</v>
      </c>
      <c r="B348" s="1" t="s">
        <v>1195</v>
      </c>
      <c r="C348" s="1" t="s">
        <v>1195</v>
      </c>
      <c r="D348" s="1" t="s">
        <v>1195</v>
      </c>
      <c r="E348" s="1" t="s">
        <v>22</v>
      </c>
      <c r="F348" s="1" t="s">
        <v>1196</v>
      </c>
      <c r="G348" s="1" t="s">
        <v>614</v>
      </c>
      <c r="H348" s="1" t="s">
        <v>615</v>
      </c>
      <c r="I348" s="1" t="s">
        <v>1197</v>
      </c>
      <c r="J348" s="2">
        <v>4</v>
      </c>
      <c r="K348" s="3">
        <v>42.325243999999998</v>
      </c>
      <c r="L348" s="3">
        <v>69.580056999999996</v>
      </c>
      <c r="M348" s="1" t="s">
        <v>1198</v>
      </c>
      <c r="N348" s="1" t="s">
        <v>1199</v>
      </c>
      <c r="O348" s="1" t="s">
        <v>1200</v>
      </c>
      <c r="P348" s="1" t="s">
        <v>59</v>
      </c>
      <c r="Q348" s="1" t="s">
        <v>61</v>
      </c>
      <c r="R348" s="1" t="s">
        <v>61</v>
      </c>
      <c r="S348" s="1" t="s">
        <v>1201</v>
      </c>
    </row>
    <row r="349" spans="1:19" ht="22.8">
      <c r="A349" s="1" t="s">
        <v>1202</v>
      </c>
      <c r="B349" s="1" t="s">
        <v>1203</v>
      </c>
      <c r="C349" s="1" t="s">
        <v>1203</v>
      </c>
      <c r="D349" s="1" t="s">
        <v>1203</v>
      </c>
      <c r="E349" s="1" t="s">
        <v>22</v>
      </c>
      <c r="F349" s="1"/>
      <c r="G349" s="1"/>
      <c r="H349" s="1"/>
      <c r="I349" s="1"/>
      <c r="J349" s="2"/>
      <c r="K349" s="3">
        <v>42.318512499999997</v>
      </c>
      <c r="L349" s="3">
        <v>69.589483200000004</v>
      </c>
      <c r="M349" s="1" t="s">
        <v>1204</v>
      </c>
      <c r="N349" s="1"/>
      <c r="O349" s="1" t="s">
        <v>58</v>
      </c>
      <c r="P349" s="1" t="s">
        <v>59</v>
      </c>
      <c r="Q349" s="1" t="s">
        <v>60</v>
      </c>
      <c r="R349" s="1" t="s">
        <v>61</v>
      </c>
      <c r="S349" s="1" t="s">
        <v>66</v>
      </c>
    </row>
    <row r="350" spans="1:19" ht="22.8">
      <c r="A350" s="1" t="s">
        <v>1205</v>
      </c>
      <c r="B350" s="1" t="s">
        <v>1203</v>
      </c>
      <c r="C350" s="1" t="s">
        <v>1203</v>
      </c>
      <c r="D350" s="1" t="s">
        <v>1203</v>
      </c>
      <c r="E350" s="1" t="s">
        <v>22</v>
      </c>
      <c r="F350" s="1"/>
      <c r="G350" s="1"/>
      <c r="H350" s="1"/>
      <c r="I350" s="1"/>
      <c r="J350" s="2"/>
      <c r="K350" s="3">
        <v>42.4358377</v>
      </c>
      <c r="L350" s="3">
        <v>69.555354300000005</v>
      </c>
      <c r="M350" s="1" t="s">
        <v>1206</v>
      </c>
      <c r="N350" s="1"/>
      <c r="O350" s="1" t="s">
        <v>58</v>
      </c>
      <c r="P350" s="1" t="s">
        <v>59</v>
      </c>
      <c r="Q350" s="1" t="s">
        <v>60</v>
      </c>
      <c r="R350" s="1" t="s">
        <v>61</v>
      </c>
      <c r="S350" s="1" t="s">
        <v>66</v>
      </c>
    </row>
    <row r="351" spans="1:19" ht="22.8">
      <c r="A351" s="1" t="s">
        <v>1207</v>
      </c>
      <c r="B351" s="1" t="s">
        <v>1208</v>
      </c>
      <c r="C351" s="1" t="s">
        <v>1208</v>
      </c>
      <c r="D351" s="1" t="s">
        <v>55</v>
      </c>
      <c r="E351" s="1" t="s">
        <v>22</v>
      </c>
      <c r="F351" s="1"/>
      <c r="G351" s="1"/>
      <c r="H351" s="1"/>
      <c r="I351" s="1"/>
      <c r="J351" s="2"/>
      <c r="K351" s="3">
        <v>42.3540761</v>
      </c>
      <c r="L351" s="3">
        <v>69.5834495</v>
      </c>
      <c r="M351" s="1" t="s">
        <v>1209</v>
      </c>
      <c r="N351" s="1"/>
      <c r="O351" s="1" t="s">
        <v>58</v>
      </c>
      <c r="P351" s="1" t="s">
        <v>59</v>
      </c>
      <c r="Q351" s="1" t="s">
        <v>60</v>
      </c>
      <c r="R351" s="1" t="s">
        <v>61</v>
      </c>
      <c r="S351" s="1" t="s">
        <v>66</v>
      </c>
    </row>
    <row r="352" spans="1:19" ht="22.8">
      <c r="A352" s="1" t="s">
        <v>1210</v>
      </c>
      <c r="B352" s="1" t="s">
        <v>1211</v>
      </c>
      <c r="C352" s="1" t="s">
        <v>1211</v>
      </c>
      <c r="D352" s="1" t="s">
        <v>1211</v>
      </c>
      <c r="E352" s="1" t="s">
        <v>22</v>
      </c>
      <c r="F352" s="1"/>
      <c r="G352" s="1"/>
      <c r="H352" s="1"/>
      <c r="I352" s="1"/>
      <c r="J352" s="2"/>
      <c r="K352" s="3">
        <v>42.301811000000001</v>
      </c>
      <c r="L352" s="3">
        <v>69.584980799999997</v>
      </c>
      <c r="M352" s="1" t="s">
        <v>1212</v>
      </c>
      <c r="N352" s="1"/>
      <c r="O352" s="1" t="s">
        <v>58</v>
      </c>
      <c r="P352" s="1" t="s">
        <v>59</v>
      </c>
      <c r="Q352" s="1" t="s">
        <v>60</v>
      </c>
      <c r="R352" s="1" t="s">
        <v>61</v>
      </c>
      <c r="S352" s="1" t="s">
        <v>66</v>
      </c>
    </row>
    <row r="353" spans="1:19" ht="22.8">
      <c r="A353" s="1" t="s">
        <v>1213</v>
      </c>
      <c r="B353" s="1" t="s">
        <v>1214</v>
      </c>
      <c r="C353" s="1" t="s">
        <v>1214</v>
      </c>
      <c r="D353" s="1" t="s">
        <v>55</v>
      </c>
      <c r="E353" s="1" t="s">
        <v>22</v>
      </c>
      <c r="F353" s="1"/>
      <c r="G353" s="1"/>
      <c r="H353" s="1"/>
      <c r="I353" s="1"/>
      <c r="J353" s="2"/>
      <c r="K353" s="3">
        <v>42.371371199999999</v>
      </c>
      <c r="L353" s="3">
        <v>69.591545800000006</v>
      </c>
      <c r="M353" s="1" t="s">
        <v>1215</v>
      </c>
      <c r="N353" s="1"/>
      <c r="O353" s="1" t="s">
        <v>58</v>
      </c>
      <c r="P353" s="1" t="s">
        <v>59</v>
      </c>
      <c r="Q353" s="1" t="s">
        <v>60</v>
      </c>
      <c r="R353" s="1" t="s">
        <v>61</v>
      </c>
      <c r="S353" s="1" t="s">
        <v>66</v>
      </c>
    </row>
    <row r="354" spans="1:19" ht="91.2">
      <c r="A354" s="1" t="s">
        <v>1216</v>
      </c>
      <c r="B354" s="1" t="s">
        <v>1060</v>
      </c>
      <c r="C354" s="1" t="s">
        <v>1060</v>
      </c>
      <c r="D354" s="1" t="s">
        <v>1060</v>
      </c>
      <c r="E354" s="1" t="s">
        <v>22</v>
      </c>
      <c r="F354" s="1" t="s">
        <v>1217</v>
      </c>
      <c r="G354" s="1" t="s">
        <v>1218</v>
      </c>
      <c r="H354" s="1" t="s">
        <v>1219</v>
      </c>
      <c r="I354" s="1" t="s">
        <v>1220</v>
      </c>
      <c r="J354" s="2">
        <v>14</v>
      </c>
      <c r="K354" s="3">
        <v>42.363278000000001</v>
      </c>
      <c r="L354" s="3">
        <v>69.629063000000002</v>
      </c>
      <c r="M354" s="1" t="s">
        <v>1221</v>
      </c>
      <c r="N354" s="1" t="s">
        <v>1222</v>
      </c>
      <c r="O354" s="1" t="s">
        <v>1200</v>
      </c>
      <c r="P354" s="1" t="s">
        <v>59</v>
      </c>
      <c r="Q354" s="1" t="s">
        <v>61</v>
      </c>
      <c r="R354" s="1" t="s">
        <v>61</v>
      </c>
      <c r="S354" s="1" t="s">
        <v>1223</v>
      </c>
    </row>
    <row r="355" spans="1:19" ht="22.8">
      <c r="A355" s="1" t="s">
        <v>1224</v>
      </c>
      <c r="B355" s="1" t="s">
        <v>1225</v>
      </c>
      <c r="C355" s="1" t="s">
        <v>1225</v>
      </c>
      <c r="D355" s="1" t="s">
        <v>55</v>
      </c>
      <c r="E355" s="1" t="s">
        <v>22</v>
      </c>
      <c r="F355" s="1"/>
      <c r="G355" s="1"/>
      <c r="H355" s="1"/>
      <c r="I355" s="1"/>
      <c r="J355" s="2"/>
      <c r="K355" s="3">
        <v>42.301234700000002</v>
      </c>
      <c r="L355" s="3">
        <v>69.586675900000003</v>
      </c>
      <c r="M355" s="1" t="s">
        <v>1226</v>
      </c>
      <c r="N355" s="1"/>
      <c r="O355" s="1" t="s">
        <v>58</v>
      </c>
      <c r="P355" s="1" t="s">
        <v>59</v>
      </c>
      <c r="Q355" s="1" t="s">
        <v>60</v>
      </c>
      <c r="R355" s="1" t="s">
        <v>61</v>
      </c>
      <c r="S355" s="1" t="s">
        <v>66</v>
      </c>
    </row>
    <row r="356" spans="1:19" ht="79.8">
      <c r="A356" s="1" t="s">
        <v>1227</v>
      </c>
      <c r="B356" s="1" t="s">
        <v>1228</v>
      </c>
      <c r="C356" s="1" t="s">
        <v>1228</v>
      </c>
      <c r="D356" s="1" t="s">
        <v>55</v>
      </c>
      <c r="E356" s="1" t="s">
        <v>22</v>
      </c>
      <c r="F356" s="1" t="s">
        <v>1229</v>
      </c>
      <c r="G356" s="1" t="s">
        <v>614</v>
      </c>
      <c r="H356" s="1" t="s">
        <v>1230</v>
      </c>
      <c r="I356" s="1"/>
      <c r="J356" s="2">
        <v>1</v>
      </c>
      <c r="K356" s="3">
        <v>42.311610999999999</v>
      </c>
      <c r="L356" s="3">
        <v>69.577665999999994</v>
      </c>
      <c r="M356" s="1" t="s">
        <v>1231</v>
      </c>
      <c r="N356" s="1" t="s">
        <v>1232</v>
      </c>
      <c r="O356" s="1" t="s">
        <v>1051</v>
      </c>
      <c r="P356" s="1" t="s">
        <v>59</v>
      </c>
      <c r="Q356" s="1" t="s">
        <v>61</v>
      </c>
      <c r="R356" s="1" t="s">
        <v>61</v>
      </c>
      <c r="S356" s="1" t="s">
        <v>1052</v>
      </c>
    </row>
    <row r="357" spans="1:19" ht="91.2">
      <c r="A357" s="1" t="s">
        <v>1233</v>
      </c>
      <c r="B357" s="1" t="s">
        <v>1234</v>
      </c>
      <c r="C357" s="1" t="s">
        <v>1234</v>
      </c>
      <c r="D357" s="1" t="s">
        <v>55</v>
      </c>
      <c r="E357" s="1" t="s">
        <v>22</v>
      </c>
      <c r="F357" s="1" t="s">
        <v>1235</v>
      </c>
      <c r="G357" s="1" t="s">
        <v>251</v>
      </c>
      <c r="H357" s="1" t="s">
        <v>615</v>
      </c>
      <c r="I357" s="1"/>
      <c r="J357" s="2">
        <v>1</v>
      </c>
      <c r="K357" s="3">
        <v>42.318764000000002</v>
      </c>
      <c r="L357" s="3">
        <v>69.597830999999999</v>
      </c>
      <c r="M357" s="1" t="s">
        <v>1236</v>
      </c>
      <c r="N357" s="1" t="s">
        <v>1237</v>
      </c>
      <c r="O357" s="1" t="s">
        <v>1131</v>
      </c>
      <c r="P357" s="1" t="s">
        <v>59</v>
      </c>
      <c r="Q357" s="1" t="s">
        <v>61</v>
      </c>
      <c r="R357" s="1" t="s">
        <v>61</v>
      </c>
      <c r="S357" s="1" t="s">
        <v>1132</v>
      </c>
    </row>
    <row r="358" spans="1:19" ht="22.8">
      <c r="A358" s="1" t="s">
        <v>1238</v>
      </c>
      <c r="B358" s="1" t="s">
        <v>515</v>
      </c>
      <c r="C358" s="1" t="s">
        <v>515</v>
      </c>
      <c r="D358" s="1" t="s">
        <v>515</v>
      </c>
      <c r="E358" s="1" t="s">
        <v>22</v>
      </c>
      <c r="F358" s="1"/>
      <c r="G358" s="1"/>
      <c r="H358" s="1"/>
      <c r="I358" s="1"/>
      <c r="J358" s="2"/>
      <c r="K358" s="3">
        <v>42.339193299999998</v>
      </c>
      <c r="L358" s="3">
        <v>69.601082000000005</v>
      </c>
      <c r="M358" s="1" t="s">
        <v>1239</v>
      </c>
      <c r="N358" s="1"/>
      <c r="O358" s="1" t="s">
        <v>58</v>
      </c>
      <c r="P358" s="1" t="s">
        <v>59</v>
      </c>
      <c r="Q358" s="1" t="s">
        <v>60</v>
      </c>
      <c r="R358" s="1" t="s">
        <v>61</v>
      </c>
      <c r="S358" s="1" t="s">
        <v>66</v>
      </c>
    </row>
    <row r="359" spans="1:19" ht="79.8">
      <c r="A359" s="1" t="s">
        <v>1240</v>
      </c>
      <c r="B359" s="1" t="s">
        <v>1241</v>
      </c>
      <c r="C359" s="1" t="s">
        <v>1241</v>
      </c>
      <c r="D359" s="1" t="s">
        <v>55</v>
      </c>
      <c r="E359" s="1" t="s">
        <v>22</v>
      </c>
      <c r="F359" s="1" t="s">
        <v>1242</v>
      </c>
      <c r="G359" s="1" t="s">
        <v>1218</v>
      </c>
      <c r="H359" s="1" t="s">
        <v>1243</v>
      </c>
      <c r="I359" s="1"/>
      <c r="J359" s="2">
        <v>1</v>
      </c>
      <c r="K359" s="3">
        <v>42.427374999999998</v>
      </c>
      <c r="L359" s="3">
        <v>69.636999000000003</v>
      </c>
      <c r="M359" s="1" t="s">
        <v>1244</v>
      </c>
      <c r="N359" s="1" t="s">
        <v>1245</v>
      </c>
      <c r="O359" s="1" t="s">
        <v>1051</v>
      </c>
      <c r="P359" s="1" t="s">
        <v>59</v>
      </c>
      <c r="Q359" s="1" t="s">
        <v>61</v>
      </c>
      <c r="R359" s="1" t="s">
        <v>61</v>
      </c>
      <c r="S359" s="1" t="s">
        <v>1052</v>
      </c>
    </row>
    <row r="360" spans="1:19" ht="22.8">
      <c r="A360" s="1" t="s">
        <v>1246</v>
      </c>
      <c r="B360" s="1" t="s">
        <v>1247</v>
      </c>
      <c r="C360" s="1" t="s">
        <v>1247</v>
      </c>
      <c r="D360" s="1" t="s">
        <v>55</v>
      </c>
      <c r="E360" s="1" t="s">
        <v>22</v>
      </c>
      <c r="F360" s="1"/>
      <c r="G360" s="1"/>
      <c r="H360" s="1"/>
      <c r="I360" s="1"/>
      <c r="J360" s="2"/>
      <c r="K360" s="3">
        <v>42.363539500000002</v>
      </c>
      <c r="L360" s="3">
        <v>69.598176199999997</v>
      </c>
      <c r="M360" s="1" t="s">
        <v>1248</v>
      </c>
      <c r="N360" s="1"/>
      <c r="O360" s="1" t="s">
        <v>58</v>
      </c>
      <c r="P360" s="1" t="s">
        <v>59</v>
      </c>
      <c r="Q360" s="1" t="s">
        <v>60</v>
      </c>
      <c r="R360" s="1" t="s">
        <v>61</v>
      </c>
      <c r="S360" s="1" t="s">
        <v>66</v>
      </c>
    </row>
    <row r="361" spans="1:19" ht="22.8">
      <c r="A361" s="1" t="s">
        <v>1249</v>
      </c>
      <c r="B361" s="1" t="s">
        <v>556</v>
      </c>
      <c r="C361" s="1" t="s">
        <v>556</v>
      </c>
      <c r="D361" s="1" t="s">
        <v>556</v>
      </c>
      <c r="E361" s="1" t="s">
        <v>22</v>
      </c>
      <c r="F361" s="1"/>
      <c r="G361" s="1"/>
      <c r="H361" s="1"/>
      <c r="I361" s="1"/>
      <c r="J361" s="2"/>
      <c r="K361" s="3">
        <v>42.318396</v>
      </c>
      <c r="L361" s="3">
        <v>69.580227699999995</v>
      </c>
      <c r="M361" s="1" t="s">
        <v>1250</v>
      </c>
      <c r="N361" s="1"/>
      <c r="O361" s="1" t="s">
        <v>58</v>
      </c>
      <c r="P361" s="1" t="s">
        <v>59</v>
      </c>
      <c r="Q361" s="1" t="s">
        <v>60</v>
      </c>
      <c r="R361" s="1" t="s">
        <v>61</v>
      </c>
      <c r="S361" s="1" t="s">
        <v>66</v>
      </c>
    </row>
    <row r="362" spans="1:19" ht="79.8">
      <c r="A362" s="1" t="s">
        <v>1251</v>
      </c>
      <c r="B362" s="1" t="s">
        <v>678</v>
      </c>
      <c r="C362" s="1" t="s">
        <v>678</v>
      </c>
      <c r="D362" s="1" t="s">
        <v>1134</v>
      </c>
      <c r="E362" s="1" t="s">
        <v>22</v>
      </c>
      <c r="F362" s="1" t="s">
        <v>1252</v>
      </c>
      <c r="G362" s="1" t="s">
        <v>1218</v>
      </c>
      <c r="H362" s="1" t="s">
        <v>1253</v>
      </c>
      <c r="I362" s="1"/>
      <c r="J362" s="2">
        <v>1</v>
      </c>
      <c r="K362" s="3">
        <v>42.354005999999998</v>
      </c>
      <c r="L362" s="3">
        <v>69.639195999999998</v>
      </c>
      <c r="M362" s="1" t="s">
        <v>1254</v>
      </c>
      <c r="N362" s="1" t="s">
        <v>1245</v>
      </c>
      <c r="O362" s="1" t="s">
        <v>1051</v>
      </c>
      <c r="P362" s="1" t="s">
        <v>59</v>
      </c>
      <c r="Q362" s="1" t="s">
        <v>61</v>
      </c>
      <c r="R362" s="1" t="s">
        <v>61</v>
      </c>
      <c r="S362" s="1" t="s">
        <v>1255</v>
      </c>
    </row>
    <row r="363" spans="1:19" ht="22.8">
      <c r="A363" s="1" t="s">
        <v>1256</v>
      </c>
      <c r="B363" s="1" t="s">
        <v>1257</v>
      </c>
      <c r="C363" s="1" t="s">
        <v>1257</v>
      </c>
      <c r="D363" s="1" t="s">
        <v>55</v>
      </c>
      <c r="E363" s="1" t="s">
        <v>22</v>
      </c>
      <c r="F363" s="1" t="s">
        <v>422</v>
      </c>
      <c r="G363" s="1"/>
      <c r="H363" s="1"/>
      <c r="I363" s="1"/>
      <c r="J363" s="2"/>
      <c r="K363" s="3">
        <v>42.221082500000001</v>
      </c>
      <c r="L363" s="3">
        <v>69.802444699999995</v>
      </c>
      <c r="M363" s="1" t="s">
        <v>1258</v>
      </c>
      <c r="N363" s="1"/>
      <c r="O363" s="1" t="s">
        <v>58</v>
      </c>
      <c r="P363" s="1" t="s">
        <v>59</v>
      </c>
      <c r="Q363" s="1" t="s">
        <v>60</v>
      </c>
      <c r="R363" s="1" t="s">
        <v>61</v>
      </c>
      <c r="S363" s="1" t="s">
        <v>62</v>
      </c>
    </row>
    <row r="364" spans="1:19" ht="22.8">
      <c r="A364" s="1" t="s">
        <v>1259</v>
      </c>
      <c r="B364" s="1" t="s">
        <v>1260</v>
      </c>
      <c r="C364" s="1" t="s">
        <v>1260</v>
      </c>
      <c r="D364" s="1" t="s">
        <v>55</v>
      </c>
      <c r="E364" s="1" t="s">
        <v>22</v>
      </c>
      <c r="F364" s="1" t="s">
        <v>1261</v>
      </c>
      <c r="G364" s="1"/>
      <c r="H364" s="1"/>
      <c r="I364" s="1"/>
      <c r="J364" s="2"/>
      <c r="K364" s="3">
        <v>42.322080800000002</v>
      </c>
      <c r="L364" s="3">
        <v>69.564415400000001</v>
      </c>
      <c r="M364" s="1" t="s">
        <v>1262</v>
      </c>
      <c r="N364" s="1" t="s">
        <v>1263</v>
      </c>
      <c r="O364" s="1" t="s">
        <v>58</v>
      </c>
      <c r="P364" s="1" t="s">
        <v>59</v>
      </c>
      <c r="Q364" s="1" t="s">
        <v>60</v>
      </c>
      <c r="R364" s="1" t="s">
        <v>61</v>
      </c>
      <c r="S364" s="1" t="s">
        <v>62</v>
      </c>
    </row>
    <row r="365" spans="1:19" ht="79.8">
      <c r="A365" s="1" t="s">
        <v>1264</v>
      </c>
      <c r="B365" s="1" t="s">
        <v>1265</v>
      </c>
      <c r="C365" s="1" t="s">
        <v>1265</v>
      </c>
      <c r="D365" s="1" t="s">
        <v>1266</v>
      </c>
      <c r="E365" s="1" t="s">
        <v>22</v>
      </c>
      <c r="F365" s="1" t="s">
        <v>1267</v>
      </c>
      <c r="G365" s="1" t="s">
        <v>1218</v>
      </c>
      <c r="H365" s="1" t="s">
        <v>1268</v>
      </c>
      <c r="I365" s="1"/>
      <c r="J365" s="2">
        <v>1</v>
      </c>
      <c r="K365" s="3">
        <v>42.368769</v>
      </c>
      <c r="L365" s="3">
        <v>69.644147000000004</v>
      </c>
      <c r="M365" s="1" t="s">
        <v>1269</v>
      </c>
      <c r="N365" s="1" t="s">
        <v>1245</v>
      </c>
      <c r="O365" s="1" t="s">
        <v>1051</v>
      </c>
      <c r="P365" s="1" t="s">
        <v>59</v>
      </c>
      <c r="Q365" s="1" t="s">
        <v>61</v>
      </c>
      <c r="R365" s="1" t="s">
        <v>61</v>
      </c>
      <c r="S365" s="1" t="s">
        <v>1052</v>
      </c>
    </row>
    <row r="366" spans="1:19" ht="22.8">
      <c r="A366" s="1" t="s">
        <v>1270</v>
      </c>
      <c r="B366" s="1" t="s">
        <v>762</v>
      </c>
      <c r="C366" s="1" t="s">
        <v>762</v>
      </c>
      <c r="D366" s="1" t="s">
        <v>762</v>
      </c>
      <c r="E366" s="1" t="s">
        <v>22</v>
      </c>
      <c r="F366" s="1"/>
      <c r="G366" s="1"/>
      <c r="H366" s="1"/>
      <c r="I366" s="1"/>
      <c r="J366" s="2"/>
      <c r="K366" s="3">
        <v>42.315629700000002</v>
      </c>
      <c r="L366" s="3">
        <v>69.5806513</v>
      </c>
      <c r="M366" s="1" t="s">
        <v>1271</v>
      </c>
      <c r="N366" s="1"/>
      <c r="O366" s="1" t="s">
        <v>58</v>
      </c>
      <c r="P366" s="1" t="s">
        <v>59</v>
      </c>
      <c r="Q366" s="1" t="s">
        <v>60</v>
      </c>
      <c r="R366" s="1" t="s">
        <v>61</v>
      </c>
      <c r="S366" s="1" t="s">
        <v>66</v>
      </c>
    </row>
    <row r="367" spans="1:19" ht="79.8">
      <c r="A367" s="1" t="s">
        <v>1272</v>
      </c>
      <c r="B367" s="1" t="s">
        <v>1273</v>
      </c>
      <c r="C367" s="1" t="s">
        <v>1273</v>
      </c>
      <c r="D367" s="1" t="s">
        <v>1273</v>
      </c>
      <c r="E367" s="1" t="s">
        <v>22</v>
      </c>
      <c r="F367" s="1" t="s">
        <v>1274</v>
      </c>
      <c r="G367" s="1" t="s">
        <v>251</v>
      </c>
      <c r="H367" s="1"/>
      <c r="I367" s="1" t="s">
        <v>1275</v>
      </c>
      <c r="J367" s="2">
        <v>4</v>
      </c>
      <c r="K367" s="3">
        <v>42.301454</v>
      </c>
      <c r="L367" s="3">
        <v>69.606847000000002</v>
      </c>
      <c r="M367" s="1" t="s">
        <v>1276</v>
      </c>
      <c r="N367" s="1" t="s">
        <v>1277</v>
      </c>
      <c r="O367" s="1" t="s">
        <v>1065</v>
      </c>
      <c r="P367" s="1" t="s">
        <v>59</v>
      </c>
      <c r="Q367" s="1" t="s">
        <v>61</v>
      </c>
      <c r="R367" s="1" t="s">
        <v>61</v>
      </c>
      <c r="S367" s="1" t="s">
        <v>1066</v>
      </c>
    </row>
    <row r="368" spans="1:19" ht="79.8">
      <c r="A368" s="1" t="s">
        <v>1278</v>
      </c>
      <c r="B368" s="1" t="s">
        <v>1273</v>
      </c>
      <c r="C368" s="1" t="s">
        <v>1273</v>
      </c>
      <c r="D368" s="1" t="s">
        <v>1273</v>
      </c>
      <c r="E368" s="1" t="s">
        <v>22</v>
      </c>
      <c r="F368" s="1" t="s">
        <v>1279</v>
      </c>
      <c r="G368" s="1" t="s">
        <v>1218</v>
      </c>
      <c r="H368" s="1" t="s">
        <v>1280</v>
      </c>
      <c r="I368" s="1" t="s">
        <v>1281</v>
      </c>
      <c r="J368" s="2">
        <v>4</v>
      </c>
      <c r="K368" s="3">
        <v>42.342810999999998</v>
      </c>
      <c r="L368" s="3">
        <v>69.671548000000001</v>
      </c>
      <c r="M368" s="1" t="s">
        <v>1282</v>
      </c>
      <c r="N368" s="1" t="s">
        <v>1245</v>
      </c>
      <c r="O368" s="1" t="s">
        <v>1065</v>
      </c>
      <c r="P368" s="1" t="s">
        <v>59</v>
      </c>
      <c r="Q368" s="1" t="s">
        <v>61</v>
      </c>
      <c r="R368" s="1" t="s">
        <v>61</v>
      </c>
      <c r="S368" s="1" t="s">
        <v>1066</v>
      </c>
    </row>
    <row r="369" spans="1:19" ht="79.8">
      <c r="A369" s="1" t="s">
        <v>1283</v>
      </c>
      <c r="B369" s="1" t="s">
        <v>1273</v>
      </c>
      <c r="C369" s="1" t="s">
        <v>1273</v>
      </c>
      <c r="D369" s="1" t="s">
        <v>1273</v>
      </c>
      <c r="E369" s="1" t="s">
        <v>22</v>
      </c>
      <c r="F369" s="1" t="s">
        <v>1284</v>
      </c>
      <c r="G369" s="1" t="s">
        <v>403</v>
      </c>
      <c r="H369" s="1" t="s">
        <v>1285</v>
      </c>
      <c r="I369" s="1" t="s">
        <v>1286</v>
      </c>
      <c r="J369" s="2">
        <v>4</v>
      </c>
      <c r="K369" s="3">
        <v>42.386645000000001</v>
      </c>
      <c r="L369" s="3">
        <v>69.572807999999995</v>
      </c>
      <c r="M369" s="1" t="s">
        <v>1287</v>
      </c>
      <c r="N369" s="1" t="s">
        <v>1167</v>
      </c>
      <c r="O369" s="1" t="s">
        <v>1065</v>
      </c>
      <c r="P369" s="1" t="s">
        <v>59</v>
      </c>
      <c r="Q369" s="1" t="s">
        <v>61</v>
      </c>
      <c r="R369" s="1" t="s">
        <v>61</v>
      </c>
      <c r="S369" s="1" t="s">
        <v>1066</v>
      </c>
    </row>
    <row r="370" spans="1:19" ht="22.8">
      <c r="A370" s="1" t="s">
        <v>1288</v>
      </c>
      <c r="B370" s="1" t="s">
        <v>1289</v>
      </c>
      <c r="C370" s="1" t="s">
        <v>1289</v>
      </c>
      <c r="D370" s="1" t="s">
        <v>55</v>
      </c>
      <c r="E370" s="1" t="s">
        <v>22</v>
      </c>
      <c r="F370" s="1" t="s">
        <v>1290</v>
      </c>
      <c r="G370" s="1"/>
      <c r="H370" s="1"/>
      <c r="I370" s="1"/>
      <c r="J370" s="2"/>
      <c r="K370" s="3">
        <v>42.316287799999998</v>
      </c>
      <c r="L370" s="3">
        <v>69.632115200000001</v>
      </c>
      <c r="M370" s="1" t="s">
        <v>1291</v>
      </c>
      <c r="N370" s="1"/>
      <c r="O370" s="1" t="s">
        <v>58</v>
      </c>
      <c r="P370" s="1" t="s">
        <v>59</v>
      </c>
      <c r="Q370" s="1" t="s">
        <v>60</v>
      </c>
      <c r="R370" s="1" t="s">
        <v>61</v>
      </c>
      <c r="S370" s="1" t="s">
        <v>62</v>
      </c>
    </row>
    <row r="371" spans="1:19" ht="91.2">
      <c r="A371" s="1" t="s">
        <v>1292</v>
      </c>
      <c r="B371" s="1" t="s">
        <v>1293</v>
      </c>
      <c r="C371" s="1" t="s">
        <v>1293</v>
      </c>
      <c r="D371" s="1" t="s">
        <v>55</v>
      </c>
      <c r="E371" s="1" t="s">
        <v>22</v>
      </c>
      <c r="F371" s="1" t="s">
        <v>1294</v>
      </c>
      <c r="G371" s="1" t="s">
        <v>1295</v>
      </c>
      <c r="H371" s="1" t="s">
        <v>1296</v>
      </c>
      <c r="I371" s="1"/>
      <c r="J371" s="2"/>
      <c r="K371" s="3">
        <v>42.304661199999998</v>
      </c>
      <c r="L371" s="3">
        <v>69.620680899999996</v>
      </c>
      <c r="M371" s="1" t="s">
        <v>1297</v>
      </c>
      <c r="N371" s="1" t="s">
        <v>1298</v>
      </c>
      <c r="O371" s="1" t="s">
        <v>255</v>
      </c>
      <c r="P371" s="1" t="s">
        <v>59</v>
      </c>
      <c r="Q371" s="1" t="s">
        <v>60</v>
      </c>
      <c r="R371" s="1" t="s">
        <v>61</v>
      </c>
      <c r="S371" s="1" t="s">
        <v>1299</v>
      </c>
    </row>
    <row r="372" spans="1:19" ht="79.8">
      <c r="A372" s="1" t="s">
        <v>1300</v>
      </c>
      <c r="B372" s="1" t="s">
        <v>1301</v>
      </c>
      <c r="C372" s="1" t="s">
        <v>1301</v>
      </c>
      <c r="D372" s="1" t="s">
        <v>55</v>
      </c>
      <c r="E372" s="1" t="s">
        <v>22</v>
      </c>
      <c r="F372" s="1" t="s">
        <v>1302</v>
      </c>
      <c r="G372" s="1" t="s">
        <v>403</v>
      </c>
      <c r="H372" s="1" t="s">
        <v>1303</v>
      </c>
      <c r="I372" s="1"/>
      <c r="J372" s="2">
        <v>1</v>
      </c>
      <c r="K372" s="3">
        <v>42.378605</v>
      </c>
      <c r="L372" s="3">
        <v>69.615398999999996</v>
      </c>
      <c r="M372" s="1" t="s">
        <v>1304</v>
      </c>
      <c r="N372" s="1" t="s">
        <v>1167</v>
      </c>
      <c r="O372" s="1" t="s">
        <v>1051</v>
      </c>
      <c r="P372" s="1" t="s">
        <v>59</v>
      </c>
      <c r="Q372" s="1" t="s">
        <v>61</v>
      </c>
      <c r="R372" s="1" t="s">
        <v>61</v>
      </c>
      <c r="S372" s="1" t="s">
        <v>1052</v>
      </c>
    </row>
    <row r="373" spans="1:19" ht="22.8">
      <c r="A373" s="1" t="s">
        <v>1305</v>
      </c>
      <c r="B373" s="1" t="s">
        <v>1306</v>
      </c>
      <c r="C373" s="1" t="s">
        <v>1306</v>
      </c>
      <c r="D373" s="1" t="s">
        <v>55</v>
      </c>
      <c r="E373" s="1" t="s">
        <v>22</v>
      </c>
      <c r="F373" s="1"/>
      <c r="G373" s="1"/>
      <c r="H373" s="1"/>
      <c r="I373" s="1"/>
      <c r="J373" s="2"/>
      <c r="K373" s="3">
        <v>42.363111400000001</v>
      </c>
      <c r="L373" s="3">
        <v>69.6013734</v>
      </c>
      <c r="M373" s="1" t="s">
        <v>1307</v>
      </c>
      <c r="N373" s="1"/>
      <c r="O373" s="1" t="s">
        <v>58</v>
      </c>
      <c r="P373" s="1" t="s">
        <v>59</v>
      </c>
      <c r="Q373" s="1" t="s">
        <v>60</v>
      </c>
      <c r="R373" s="1" t="s">
        <v>61</v>
      </c>
      <c r="S373" s="1" t="s">
        <v>66</v>
      </c>
    </row>
    <row r="374" spans="1:19" ht="22.8">
      <c r="A374" s="1" t="s">
        <v>1308</v>
      </c>
      <c r="B374" s="1" t="s">
        <v>1309</v>
      </c>
      <c r="C374" s="1" t="s">
        <v>1309</v>
      </c>
      <c r="D374" s="1" t="s">
        <v>55</v>
      </c>
      <c r="E374" s="1" t="s">
        <v>22</v>
      </c>
      <c r="F374" s="1"/>
      <c r="G374" s="1"/>
      <c r="H374" s="1"/>
      <c r="I374" s="1"/>
      <c r="J374" s="2"/>
      <c r="K374" s="3">
        <v>42.311271300000001</v>
      </c>
      <c r="L374" s="3">
        <v>69.584073399999994</v>
      </c>
      <c r="M374" s="1" t="s">
        <v>1310</v>
      </c>
      <c r="N374" s="1"/>
      <c r="O374" s="1" t="s">
        <v>58</v>
      </c>
      <c r="P374" s="1" t="s">
        <v>59</v>
      </c>
      <c r="Q374" s="1" t="s">
        <v>60</v>
      </c>
      <c r="R374" s="1" t="s">
        <v>61</v>
      </c>
      <c r="S374" s="1" t="s">
        <v>66</v>
      </c>
    </row>
    <row r="375" spans="1:19" ht="91.2">
      <c r="A375" s="1" t="s">
        <v>1311</v>
      </c>
      <c r="B375" s="1" t="s">
        <v>1312</v>
      </c>
      <c r="C375" s="1" t="s">
        <v>1312</v>
      </c>
      <c r="D375" s="1" t="s">
        <v>55</v>
      </c>
      <c r="E375" s="1" t="s">
        <v>22</v>
      </c>
      <c r="F375" s="1" t="s">
        <v>1313</v>
      </c>
      <c r="G375" s="1" t="s">
        <v>251</v>
      </c>
      <c r="H375" s="1" t="s">
        <v>1164</v>
      </c>
      <c r="I375" s="1"/>
      <c r="J375" s="2"/>
      <c r="K375" s="3">
        <v>42.302473200000001</v>
      </c>
      <c r="L375" s="3">
        <v>69.588690499999998</v>
      </c>
      <c r="M375" s="1" t="s">
        <v>1314</v>
      </c>
      <c r="N375" s="1" t="s">
        <v>1315</v>
      </c>
      <c r="O375" s="1" t="s">
        <v>255</v>
      </c>
      <c r="P375" s="1" t="s">
        <v>59</v>
      </c>
      <c r="Q375" s="1" t="s">
        <v>60</v>
      </c>
      <c r="R375" s="1" t="s">
        <v>61</v>
      </c>
      <c r="S375" s="1" t="s">
        <v>66</v>
      </c>
    </row>
    <row r="376" spans="1:19" ht="22.8">
      <c r="A376" s="1" t="s">
        <v>1316</v>
      </c>
      <c r="B376" s="1" t="s">
        <v>1317</v>
      </c>
      <c r="C376" s="1" t="s">
        <v>1317</v>
      </c>
      <c r="D376" s="1" t="s">
        <v>55</v>
      </c>
      <c r="E376" s="1" t="s">
        <v>22</v>
      </c>
      <c r="F376" s="1"/>
      <c r="G376" s="1"/>
      <c r="H376" s="1"/>
      <c r="I376" s="1"/>
      <c r="J376" s="2"/>
      <c r="K376" s="3">
        <v>42.360001199999999</v>
      </c>
      <c r="L376" s="3">
        <v>69.619571100000002</v>
      </c>
      <c r="M376" s="1" t="s">
        <v>1318</v>
      </c>
      <c r="N376" s="1"/>
      <c r="O376" s="1" t="s">
        <v>58</v>
      </c>
      <c r="P376" s="1" t="s">
        <v>59</v>
      </c>
      <c r="Q376" s="1" t="s">
        <v>60</v>
      </c>
      <c r="R376" s="1" t="s">
        <v>61</v>
      </c>
      <c r="S376" s="1" t="s">
        <v>66</v>
      </c>
    </row>
    <row r="377" spans="1:19" ht="22.8">
      <c r="A377" s="1" t="s">
        <v>1319</v>
      </c>
      <c r="B377" s="1" t="s">
        <v>1320</v>
      </c>
      <c r="C377" s="1" t="s">
        <v>1320</v>
      </c>
      <c r="D377" s="1" t="s">
        <v>55</v>
      </c>
      <c r="E377" s="1" t="s">
        <v>22</v>
      </c>
      <c r="F377" s="1" t="s">
        <v>1321</v>
      </c>
      <c r="G377" s="1"/>
      <c r="H377" s="1"/>
      <c r="I377" s="1"/>
      <c r="J377" s="2"/>
      <c r="K377" s="3">
        <v>42.3523505</v>
      </c>
      <c r="L377" s="3">
        <v>69.578166400000001</v>
      </c>
      <c r="M377" s="1" t="s">
        <v>1322</v>
      </c>
      <c r="N377" s="1"/>
      <c r="O377" s="1" t="s">
        <v>58</v>
      </c>
      <c r="P377" s="1" t="s">
        <v>59</v>
      </c>
      <c r="Q377" s="1" t="s">
        <v>60</v>
      </c>
      <c r="R377" s="1" t="s">
        <v>61</v>
      </c>
      <c r="S377" s="1" t="s">
        <v>62</v>
      </c>
    </row>
    <row r="378" spans="1:19" ht="22.8">
      <c r="A378" s="1" t="s">
        <v>1323</v>
      </c>
      <c r="B378" s="1" t="s">
        <v>861</v>
      </c>
      <c r="C378" s="1" t="s">
        <v>861</v>
      </c>
      <c r="D378" s="1" t="s">
        <v>55</v>
      </c>
      <c r="E378" s="1" t="s">
        <v>22</v>
      </c>
      <c r="F378" s="1" t="s">
        <v>1324</v>
      </c>
      <c r="G378" s="1"/>
      <c r="H378" s="1"/>
      <c r="I378" s="1"/>
      <c r="J378" s="2"/>
      <c r="K378" s="3">
        <v>42.314675800000003</v>
      </c>
      <c r="L378" s="3">
        <v>69.667337500000002</v>
      </c>
      <c r="M378" s="1" t="s">
        <v>1325</v>
      </c>
      <c r="N378" s="1"/>
      <c r="O378" s="1" t="s">
        <v>58</v>
      </c>
      <c r="P378" s="1" t="s">
        <v>59</v>
      </c>
      <c r="Q378" s="1" t="s">
        <v>863</v>
      </c>
      <c r="R378" s="1" t="s">
        <v>61</v>
      </c>
      <c r="S378" s="1" t="s">
        <v>864</v>
      </c>
    </row>
    <row r="379" spans="1:19" ht="22.8">
      <c r="A379" s="1" t="s">
        <v>1326</v>
      </c>
      <c r="B379" s="1" t="s">
        <v>861</v>
      </c>
      <c r="C379" s="1" t="s">
        <v>861</v>
      </c>
      <c r="D379" s="1" t="s">
        <v>55</v>
      </c>
      <c r="E379" s="1" t="s">
        <v>22</v>
      </c>
      <c r="F379" s="1"/>
      <c r="G379" s="1"/>
      <c r="H379" s="1"/>
      <c r="I379" s="1"/>
      <c r="J379" s="2"/>
      <c r="K379" s="3">
        <v>42.336466999999999</v>
      </c>
      <c r="L379" s="3">
        <v>69.649987899999999</v>
      </c>
      <c r="M379" s="1" t="s">
        <v>1327</v>
      </c>
      <c r="N379" s="1"/>
      <c r="O379" s="1" t="s">
        <v>58</v>
      </c>
      <c r="P379" s="1" t="s">
        <v>59</v>
      </c>
      <c r="Q379" s="1" t="s">
        <v>863</v>
      </c>
      <c r="R379" s="1" t="s">
        <v>61</v>
      </c>
      <c r="S379" s="1" t="s">
        <v>864</v>
      </c>
    </row>
    <row r="380" spans="1:19" ht="22.8">
      <c r="A380" s="1" t="s">
        <v>1328</v>
      </c>
      <c r="B380" s="1" t="s">
        <v>861</v>
      </c>
      <c r="C380" s="1" t="s">
        <v>861</v>
      </c>
      <c r="D380" s="1" t="s">
        <v>55</v>
      </c>
      <c r="E380" s="1" t="s">
        <v>22</v>
      </c>
      <c r="F380" s="1"/>
      <c r="G380" s="1"/>
      <c r="H380" s="1"/>
      <c r="I380" s="1"/>
      <c r="J380" s="2"/>
      <c r="K380" s="3">
        <v>42.428356399999998</v>
      </c>
      <c r="L380" s="3">
        <v>69.6365014</v>
      </c>
      <c r="M380" s="1" t="s">
        <v>1329</v>
      </c>
      <c r="N380" s="1"/>
      <c r="O380" s="1" t="s">
        <v>58</v>
      </c>
      <c r="P380" s="1" t="s">
        <v>59</v>
      </c>
      <c r="Q380" s="1" t="s">
        <v>863</v>
      </c>
      <c r="R380" s="1" t="s">
        <v>61</v>
      </c>
      <c r="S380" s="1" t="s">
        <v>864</v>
      </c>
    </row>
    <row r="381" spans="1:19" ht="22.8">
      <c r="A381" s="1" t="s">
        <v>1330</v>
      </c>
      <c r="B381" s="1" t="s">
        <v>861</v>
      </c>
      <c r="C381" s="1" t="s">
        <v>861</v>
      </c>
      <c r="D381" s="1" t="s">
        <v>55</v>
      </c>
      <c r="E381" s="1" t="s">
        <v>22</v>
      </c>
      <c r="F381" s="1"/>
      <c r="G381" s="1"/>
      <c r="H381" s="1"/>
      <c r="I381" s="1"/>
      <c r="J381" s="2"/>
      <c r="K381" s="3">
        <v>42.430426599999997</v>
      </c>
      <c r="L381" s="3">
        <v>69.647653899999995</v>
      </c>
      <c r="M381" s="1" t="s">
        <v>1331</v>
      </c>
      <c r="N381" s="1"/>
      <c r="O381" s="1" t="s">
        <v>58</v>
      </c>
      <c r="P381" s="1" t="s">
        <v>59</v>
      </c>
      <c r="Q381" s="1" t="s">
        <v>863</v>
      </c>
      <c r="R381" s="1" t="s">
        <v>61</v>
      </c>
      <c r="S381" s="1" t="s">
        <v>864</v>
      </c>
    </row>
    <row r="382" spans="1:19" ht="22.8">
      <c r="A382" s="1" t="s">
        <v>1332</v>
      </c>
      <c r="B382" s="1" t="s">
        <v>861</v>
      </c>
      <c r="C382" s="1" t="s">
        <v>861</v>
      </c>
      <c r="D382" s="1" t="s">
        <v>55</v>
      </c>
      <c r="E382" s="1" t="s">
        <v>22</v>
      </c>
      <c r="F382" s="1"/>
      <c r="G382" s="1"/>
      <c r="H382" s="1"/>
      <c r="I382" s="1"/>
      <c r="J382" s="2"/>
      <c r="K382" s="3">
        <v>42.431102799999998</v>
      </c>
      <c r="L382" s="3">
        <v>69.643123700000004</v>
      </c>
      <c r="M382" s="1" t="s">
        <v>1333</v>
      </c>
      <c r="N382" s="1"/>
      <c r="O382" s="1" t="s">
        <v>58</v>
      </c>
      <c r="P382" s="1" t="s">
        <v>59</v>
      </c>
      <c r="Q382" s="1" t="s">
        <v>863</v>
      </c>
      <c r="R382" s="1" t="s">
        <v>61</v>
      </c>
      <c r="S382" s="1" t="s">
        <v>864</v>
      </c>
    </row>
    <row r="383" spans="1:19" ht="79.8">
      <c r="A383" s="1" t="s">
        <v>1334</v>
      </c>
      <c r="B383" s="1" t="s">
        <v>1335</v>
      </c>
      <c r="C383" s="1" t="s">
        <v>1335</v>
      </c>
      <c r="D383" s="1" t="s">
        <v>55</v>
      </c>
      <c r="E383" s="1" t="s">
        <v>22</v>
      </c>
      <c r="F383" s="1" t="s">
        <v>1336</v>
      </c>
      <c r="G383" s="1" t="s">
        <v>1218</v>
      </c>
      <c r="H383" s="1" t="s">
        <v>1337</v>
      </c>
      <c r="I383" s="1" t="s">
        <v>1338</v>
      </c>
      <c r="J383" s="2">
        <v>1</v>
      </c>
      <c r="K383" s="3">
        <v>42.357728999999999</v>
      </c>
      <c r="L383" s="3">
        <v>69.651841000000005</v>
      </c>
      <c r="M383" s="1" t="s">
        <v>1339</v>
      </c>
      <c r="N383" s="1" t="s">
        <v>1245</v>
      </c>
      <c r="O383" s="1" t="s">
        <v>1051</v>
      </c>
      <c r="P383" s="1" t="s">
        <v>59</v>
      </c>
      <c r="Q383" s="1" t="s">
        <v>61</v>
      </c>
      <c r="R383" s="1" t="s">
        <v>61</v>
      </c>
      <c r="S383" s="1" t="s">
        <v>1255</v>
      </c>
    </row>
    <row r="384" spans="1:19" ht="22.8">
      <c r="A384" s="1" t="s">
        <v>1340</v>
      </c>
      <c r="B384" s="1" t="s">
        <v>1341</v>
      </c>
      <c r="C384" s="1" t="s">
        <v>1341</v>
      </c>
      <c r="D384" s="1" t="s">
        <v>55</v>
      </c>
      <c r="E384" s="1" t="s">
        <v>22</v>
      </c>
      <c r="F384" s="1"/>
      <c r="G384" s="1"/>
      <c r="H384" s="1"/>
      <c r="I384" s="1"/>
      <c r="J384" s="2"/>
      <c r="K384" s="3">
        <v>42.361621</v>
      </c>
      <c r="L384" s="3">
        <v>69.606694899999994</v>
      </c>
      <c r="M384" s="1" t="s">
        <v>1342</v>
      </c>
      <c r="N384" s="1"/>
      <c r="O384" s="1" t="s">
        <v>58</v>
      </c>
      <c r="P384" s="1" t="s">
        <v>59</v>
      </c>
      <c r="Q384" s="1" t="s">
        <v>60</v>
      </c>
      <c r="R384" s="1" t="s">
        <v>61</v>
      </c>
      <c r="S384" s="1" t="s">
        <v>66</v>
      </c>
    </row>
    <row r="385" spans="1:19" ht="22.8">
      <c r="A385" s="1" t="s">
        <v>1343</v>
      </c>
      <c r="B385" s="1" t="s">
        <v>1344</v>
      </c>
      <c r="C385" s="1" t="s">
        <v>1344</v>
      </c>
      <c r="D385" s="1" t="s">
        <v>55</v>
      </c>
      <c r="E385" s="1" t="s">
        <v>22</v>
      </c>
      <c r="F385" s="1"/>
      <c r="G385" s="1"/>
      <c r="H385" s="1"/>
      <c r="I385" s="1"/>
      <c r="J385" s="2"/>
      <c r="K385" s="3">
        <v>42.350679100000001</v>
      </c>
      <c r="L385" s="3">
        <v>69.614932499999995</v>
      </c>
      <c r="M385" s="1" t="s">
        <v>1345</v>
      </c>
      <c r="N385" s="1"/>
      <c r="O385" s="1" t="s">
        <v>58</v>
      </c>
      <c r="P385" s="1" t="s">
        <v>59</v>
      </c>
      <c r="Q385" s="1" t="s">
        <v>60</v>
      </c>
      <c r="R385" s="1" t="s">
        <v>61</v>
      </c>
      <c r="S385" s="1" t="s">
        <v>66</v>
      </c>
    </row>
    <row r="386" spans="1:19" ht="22.8">
      <c r="A386" s="1" t="s">
        <v>1346</v>
      </c>
      <c r="B386" s="1" t="s">
        <v>1347</v>
      </c>
      <c r="C386" s="1" t="s">
        <v>1347</v>
      </c>
      <c r="D386" s="1" t="s">
        <v>55</v>
      </c>
      <c r="E386" s="1" t="s">
        <v>22</v>
      </c>
      <c r="F386" s="1"/>
      <c r="G386" s="1"/>
      <c r="H386" s="1"/>
      <c r="I386" s="1"/>
      <c r="J386" s="2"/>
      <c r="K386" s="3">
        <v>42.408079200000003</v>
      </c>
      <c r="L386" s="3">
        <v>69.608642799999998</v>
      </c>
      <c r="M386" s="1" t="s">
        <v>1348</v>
      </c>
      <c r="N386" s="1"/>
      <c r="O386" s="1" t="s">
        <v>58</v>
      </c>
      <c r="P386" s="1" t="s">
        <v>59</v>
      </c>
      <c r="Q386" s="1" t="s">
        <v>60</v>
      </c>
      <c r="R386" s="1" t="s">
        <v>61</v>
      </c>
      <c r="S386" s="1" t="s">
        <v>66</v>
      </c>
    </row>
    <row r="387" spans="1:19" ht="148.19999999999999">
      <c r="A387" s="1" t="s">
        <v>1349</v>
      </c>
      <c r="B387" s="1" t="s">
        <v>1350</v>
      </c>
      <c r="C387" s="1" t="s">
        <v>1350</v>
      </c>
      <c r="D387" s="1" t="s">
        <v>1350</v>
      </c>
      <c r="E387" s="1" t="s">
        <v>22</v>
      </c>
      <c r="F387" s="1" t="s">
        <v>1351</v>
      </c>
      <c r="G387" s="1" t="s">
        <v>1295</v>
      </c>
      <c r="H387" s="1" t="s">
        <v>1352</v>
      </c>
      <c r="I387" s="1" t="s">
        <v>1353</v>
      </c>
      <c r="J387" s="2">
        <v>6</v>
      </c>
      <c r="K387" s="3">
        <v>42.305160000000001</v>
      </c>
      <c r="L387" s="3">
        <v>69.646939000000003</v>
      </c>
      <c r="M387" s="1" t="s">
        <v>1354</v>
      </c>
      <c r="N387" s="1" t="s">
        <v>1355</v>
      </c>
      <c r="O387" s="1" t="s">
        <v>1200</v>
      </c>
      <c r="P387" s="1" t="s">
        <v>59</v>
      </c>
      <c r="Q387" s="1" t="s">
        <v>61</v>
      </c>
      <c r="R387" s="1" t="s">
        <v>61</v>
      </c>
      <c r="S387" s="1" t="s">
        <v>1201</v>
      </c>
    </row>
    <row r="388" spans="1:19" ht="148.19999999999999">
      <c r="A388" s="1" t="s">
        <v>1356</v>
      </c>
      <c r="B388" s="1" t="s">
        <v>1350</v>
      </c>
      <c r="C388" s="1" t="s">
        <v>1350</v>
      </c>
      <c r="D388" s="1" t="s">
        <v>1350</v>
      </c>
      <c r="E388" s="1" t="s">
        <v>22</v>
      </c>
      <c r="F388" s="1" t="s">
        <v>1357</v>
      </c>
      <c r="G388" s="1" t="s">
        <v>251</v>
      </c>
      <c r="H388" s="1" t="s">
        <v>1352</v>
      </c>
      <c r="I388" s="1" t="s">
        <v>1358</v>
      </c>
      <c r="J388" s="2">
        <v>6</v>
      </c>
      <c r="K388" s="3">
        <v>42.315441999999997</v>
      </c>
      <c r="L388" s="3">
        <v>69.612346000000002</v>
      </c>
      <c r="M388" s="1" t="s">
        <v>1359</v>
      </c>
      <c r="N388" s="1" t="s">
        <v>1360</v>
      </c>
      <c r="O388" s="1" t="s">
        <v>1200</v>
      </c>
      <c r="P388" s="1" t="s">
        <v>59</v>
      </c>
      <c r="Q388" s="1" t="s">
        <v>61</v>
      </c>
      <c r="R388" s="1" t="s">
        <v>61</v>
      </c>
      <c r="S388" s="1" t="s">
        <v>1223</v>
      </c>
    </row>
    <row r="389" spans="1:19" ht="148.19999999999999">
      <c r="A389" s="1" t="s">
        <v>1361</v>
      </c>
      <c r="B389" s="1" t="s">
        <v>1350</v>
      </c>
      <c r="C389" s="1" t="s">
        <v>1350</v>
      </c>
      <c r="D389" s="1" t="s">
        <v>1350</v>
      </c>
      <c r="E389" s="1" t="s">
        <v>22</v>
      </c>
      <c r="F389" s="1" t="s">
        <v>1362</v>
      </c>
      <c r="G389" s="1" t="s">
        <v>614</v>
      </c>
      <c r="H389" s="1" t="s">
        <v>1352</v>
      </c>
      <c r="I389" s="1" t="s">
        <v>1363</v>
      </c>
      <c r="J389" s="2">
        <v>6</v>
      </c>
      <c r="K389" s="3">
        <v>42.323616000000001</v>
      </c>
      <c r="L389" s="3">
        <v>69.58296</v>
      </c>
      <c r="M389" s="1" t="s">
        <v>1364</v>
      </c>
      <c r="N389" s="1" t="s">
        <v>1365</v>
      </c>
      <c r="O389" s="1" t="s">
        <v>1200</v>
      </c>
      <c r="P389" s="1" t="s">
        <v>59</v>
      </c>
      <c r="Q389" s="1" t="s">
        <v>61</v>
      </c>
      <c r="R389" s="1" t="s">
        <v>61</v>
      </c>
      <c r="S389" s="1" t="s">
        <v>1223</v>
      </c>
    </row>
    <row r="390" spans="1:19" ht="148.19999999999999">
      <c r="A390" s="1" t="s">
        <v>1366</v>
      </c>
      <c r="B390" s="1" t="s">
        <v>1350</v>
      </c>
      <c r="C390" s="1" t="s">
        <v>1350</v>
      </c>
      <c r="D390" s="1" t="s">
        <v>1350</v>
      </c>
      <c r="E390" s="1" t="s">
        <v>22</v>
      </c>
      <c r="F390" s="1" t="s">
        <v>1367</v>
      </c>
      <c r="G390" s="1" t="s">
        <v>403</v>
      </c>
      <c r="H390" s="1" t="s">
        <v>1352</v>
      </c>
      <c r="I390" s="1" t="s">
        <v>1368</v>
      </c>
      <c r="J390" s="2">
        <v>6</v>
      </c>
      <c r="K390" s="3">
        <v>42.377543000000003</v>
      </c>
      <c r="L390" s="3">
        <v>69.608130000000003</v>
      </c>
      <c r="M390" s="1" t="s">
        <v>1369</v>
      </c>
      <c r="N390" s="1" t="s">
        <v>1167</v>
      </c>
      <c r="O390" s="1" t="s">
        <v>1065</v>
      </c>
      <c r="P390" s="1" t="s">
        <v>59</v>
      </c>
      <c r="Q390" s="1" t="s">
        <v>61</v>
      </c>
      <c r="R390" s="1" t="s">
        <v>61</v>
      </c>
      <c r="S390" s="1" t="s">
        <v>1066</v>
      </c>
    </row>
    <row r="391" spans="1:19" ht="148.19999999999999">
      <c r="A391" s="1" t="s">
        <v>1370</v>
      </c>
      <c r="B391" s="1" t="s">
        <v>1350</v>
      </c>
      <c r="C391" s="1" t="s">
        <v>1350</v>
      </c>
      <c r="D391" s="1" t="s">
        <v>1350</v>
      </c>
      <c r="E391" s="1" t="s">
        <v>22</v>
      </c>
      <c r="F391" s="1" t="s">
        <v>1371</v>
      </c>
      <c r="G391" s="1" t="s">
        <v>1218</v>
      </c>
      <c r="H391" s="1" t="s">
        <v>1372</v>
      </c>
      <c r="I391" s="1" t="s">
        <v>1373</v>
      </c>
      <c r="J391" s="2">
        <v>6</v>
      </c>
      <c r="K391" s="3">
        <v>42.397374999999997</v>
      </c>
      <c r="L391" s="3">
        <v>69.631394999999998</v>
      </c>
      <c r="M391" s="1" t="s">
        <v>1374</v>
      </c>
      <c r="N391" s="1" t="s">
        <v>1375</v>
      </c>
      <c r="O391" s="1" t="s">
        <v>815</v>
      </c>
      <c r="P391" s="1" t="s">
        <v>59</v>
      </c>
      <c r="Q391" s="1" t="s">
        <v>60</v>
      </c>
      <c r="R391" s="1" t="s">
        <v>61</v>
      </c>
      <c r="S391" s="1" t="s">
        <v>1376</v>
      </c>
    </row>
    <row r="392" spans="1:19" ht="22.8">
      <c r="A392" s="1" t="s">
        <v>1377</v>
      </c>
      <c r="B392" s="1" t="s">
        <v>1378</v>
      </c>
      <c r="C392" s="1" t="s">
        <v>1378</v>
      </c>
      <c r="D392" s="1" t="s">
        <v>1379</v>
      </c>
      <c r="E392" s="1" t="s">
        <v>22</v>
      </c>
      <c r="F392" s="1"/>
      <c r="G392" s="1"/>
      <c r="H392" s="1"/>
      <c r="I392" s="1"/>
      <c r="J392" s="2"/>
      <c r="K392" s="3">
        <v>42.312249000000001</v>
      </c>
      <c r="L392" s="3">
        <v>69.585134100000005</v>
      </c>
      <c r="M392" s="1" t="s">
        <v>1380</v>
      </c>
      <c r="N392" s="1"/>
      <c r="O392" s="1" t="s">
        <v>58</v>
      </c>
      <c r="P392" s="1" t="s">
        <v>59</v>
      </c>
      <c r="Q392" s="1" t="s">
        <v>60</v>
      </c>
      <c r="R392" s="1" t="s">
        <v>61</v>
      </c>
      <c r="S392" s="1" t="s">
        <v>66</v>
      </c>
    </row>
    <row r="393" spans="1:19" ht="91.2">
      <c r="A393" s="1" t="s">
        <v>1381</v>
      </c>
      <c r="B393" s="1" t="s">
        <v>1382</v>
      </c>
      <c r="C393" s="1" t="s">
        <v>1382</v>
      </c>
      <c r="D393" s="1" t="s">
        <v>1382</v>
      </c>
      <c r="E393" s="1" t="s">
        <v>22</v>
      </c>
      <c r="F393" s="1" t="s">
        <v>1383</v>
      </c>
      <c r="G393" s="1" t="s">
        <v>251</v>
      </c>
      <c r="H393" s="1" t="s">
        <v>1384</v>
      </c>
      <c r="I393" s="1" t="s">
        <v>1385</v>
      </c>
      <c r="J393" s="2">
        <v>25</v>
      </c>
      <c r="K393" s="3">
        <v>42.312382999999997</v>
      </c>
      <c r="L393" s="3">
        <v>69.584984000000006</v>
      </c>
      <c r="M393" s="1" t="s">
        <v>1386</v>
      </c>
      <c r="N393" s="1" t="s">
        <v>1159</v>
      </c>
      <c r="O393" s="1" t="s">
        <v>1065</v>
      </c>
      <c r="P393" s="1" t="s">
        <v>59</v>
      </c>
      <c r="Q393" s="1" t="s">
        <v>61</v>
      </c>
      <c r="R393" s="1" t="s">
        <v>61</v>
      </c>
      <c r="S393" s="1" t="s">
        <v>1066</v>
      </c>
    </row>
    <row r="394" spans="1:19" ht="91.2">
      <c r="A394" s="1" t="s">
        <v>1387</v>
      </c>
      <c r="B394" s="1" t="s">
        <v>1382</v>
      </c>
      <c r="C394" s="1" t="s">
        <v>1382</v>
      </c>
      <c r="D394" s="1" t="s">
        <v>1382</v>
      </c>
      <c r="E394" s="1" t="s">
        <v>22</v>
      </c>
      <c r="F394" s="1" t="s">
        <v>1388</v>
      </c>
      <c r="G394" s="1" t="s">
        <v>251</v>
      </c>
      <c r="H394" s="1" t="s">
        <v>1384</v>
      </c>
      <c r="I394" s="1" t="s">
        <v>1389</v>
      </c>
      <c r="J394" s="2">
        <v>25</v>
      </c>
      <c r="K394" s="3">
        <v>42.318517</v>
      </c>
      <c r="L394" s="3">
        <v>69.589433</v>
      </c>
      <c r="M394" s="1" t="s">
        <v>1390</v>
      </c>
      <c r="N394" s="1" t="s">
        <v>1159</v>
      </c>
      <c r="O394" s="1" t="s">
        <v>1065</v>
      </c>
      <c r="P394" s="1" t="s">
        <v>59</v>
      </c>
      <c r="Q394" s="1" t="s">
        <v>61</v>
      </c>
      <c r="R394" s="1" t="s">
        <v>61</v>
      </c>
      <c r="S394" s="1" t="s">
        <v>1391</v>
      </c>
    </row>
    <row r="395" spans="1:19" ht="91.2">
      <c r="A395" s="1" t="s">
        <v>1392</v>
      </c>
      <c r="B395" s="1" t="s">
        <v>1382</v>
      </c>
      <c r="C395" s="1" t="s">
        <v>1382</v>
      </c>
      <c r="D395" s="1" t="s">
        <v>1382</v>
      </c>
      <c r="E395" s="1" t="s">
        <v>22</v>
      </c>
      <c r="F395" s="1" t="s">
        <v>1393</v>
      </c>
      <c r="G395" s="1" t="s">
        <v>251</v>
      </c>
      <c r="H395" s="1" t="s">
        <v>1384</v>
      </c>
      <c r="I395" s="1" t="s">
        <v>1394</v>
      </c>
      <c r="J395" s="2">
        <v>25</v>
      </c>
      <c r="K395" s="3">
        <v>42.322659999999999</v>
      </c>
      <c r="L395" s="3">
        <v>69.590031999999994</v>
      </c>
      <c r="M395" s="1" t="s">
        <v>1395</v>
      </c>
      <c r="N395" s="1" t="s">
        <v>1277</v>
      </c>
      <c r="O395" s="1" t="s">
        <v>1065</v>
      </c>
      <c r="P395" s="1" t="s">
        <v>59</v>
      </c>
      <c r="Q395" s="1" t="s">
        <v>61</v>
      </c>
      <c r="R395" s="1" t="s">
        <v>61</v>
      </c>
      <c r="S395" s="1" t="s">
        <v>1168</v>
      </c>
    </row>
    <row r="396" spans="1:19" ht="102.6">
      <c r="A396" s="1" t="s">
        <v>1396</v>
      </c>
      <c r="B396" s="1" t="s">
        <v>1382</v>
      </c>
      <c r="C396" s="1" t="s">
        <v>1382</v>
      </c>
      <c r="D396" s="1" t="s">
        <v>1382</v>
      </c>
      <c r="E396" s="1" t="s">
        <v>22</v>
      </c>
      <c r="F396" s="1" t="s">
        <v>1397</v>
      </c>
      <c r="G396" s="1" t="s">
        <v>1295</v>
      </c>
      <c r="H396" s="1" t="s">
        <v>1398</v>
      </c>
      <c r="I396" s="1" t="s">
        <v>1399</v>
      </c>
      <c r="J396" s="2">
        <v>25</v>
      </c>
      <c r="K396" s="3">
        <v>42.333132999999997</v>
      </c>
      <c r="L396" s="3">
        <v>69.647368</v>
      </c>
      <c r="M396" s="1" t="s">
        <v>1400</v>
      </c>
      <c r="N396" s="1" t="s">
        <v>1401</v>
      </c>
      <c r="O396" s="1" t="s">
        <v>1065</v>
      </c>
      <c r="P396" s="1" t="s">
        <v>59</v>
      </c>
      <c r="Q396" s="1" t="s">
        <v>61</v>
      </c>
      <c r="R396" s="1" t="s">
        <v>61</v>
      </c>
      <c r="S396" s="1" t="s">
        <v>1160</v>
      </c>
    </row>
    <row r="397" spans="1:19" ht="91.2">
      <c r="A397" s="1" t="s">
        <v>1402</v>
      </c>
      <c r="B397" s="1" t="s">
        <v>1382</v>
      </c>
      <c r="C397" s="1" t="s">
        <v>1382</v>
      </c>
      <c r="D397" s="1" t="s">
        <v>1382</v>
      </c>
      <c r="E397" s="1" t="s">
        <v>22</v>
      </c>
      <c r="F397" s="1" t="s">
        <v>1403</v>
      </c>
      <c r="G397" s="1" t="s">
        <v>614</v>
      </c>
      <c r="H397" s="1" t="s">
        <v>1384</v>
      </c>
      <c r="I397" s="1" t="s">
        <v>1404</v>
      </c>
      <c r="J397" s="2">
        <v>25</v>
      </c>
      <c r="K397" s="3">
        <v>42.353495000000002</v>
      </c>
      <c r="L397" s="3">
        <v>69.597815999999995</v>
      </c>
      <c r="M397" s="1" t="s">
        <v>1405</v>
      </c>
      <c r="N397" s="1" t="s">
        <v>1232</v>
      </c>
      <c r="O397" s="1" t="s">
        <v>1065</v>
      </c>
      <c r="P397" s="1" t="s">
        <v>59</v>
      </c>
      <c r="Q397" s="1" t="s">
        <v>61</v>
      </c>
      <c r="R397" s="1" t="s">
        <v>61</v>
      </c>
      <c r="S397" s="1" t="s">
        <v>1066</v>
      </c>
    </row>
    <row r="398" spans="1:19" ht="91.2">
      <c r="A398" s="1" t="s">
        <v>1406</v>
      </c>
      <c r="B398" s="1" t="s">
        <v>1382</v>
      </c>
      <c r="C398" s="1" t="s">
        <v>1382</v>
      </c>
      <c r="D398" s="1" t="s">
        <v>1382</v>
      </c>
      <c r="E398" s="1" t="s">
        <v>22</v>
      </c>
      <c r="F398" s="1" t="s">
        <v>1407</v>
      </c>
      <c r="G398" s="1" t="s">
        <v>1218</v>
      </c>
      <c r="H398" s="1" t="s">
        <v>1384</v>
      </c>
      <c r="I398" s="1" t="s">
        <v>1408</v>
      </c>
      <c r="J398" s="2">
        <v>25</v>
      </c>
      <c r="K398" s="3">
        <v>42.358654999999999</v>
      </c>
      <c r="L398" s="3">
        <v>69.630681999999993</v>
      </c>
      <c r="M398" s="1" t="s">
        <v>1409</v>
      </c>
      <c r="N398" s="1" t="s">
        <v>1245</v>
      </c>
      <c r="O398" s="1" t="s">
        <v>1065</v>
      </c>
      <c r="P398" s="1" t="s">
        <v>59</v>
      </c>
      <c r="Q398" s="1" t="s">
        <v>61</v>
      </c>
      <c r="R398" s="1" t="s">
        <v>61</v>
      </c>
      <c r="S398" s="1" t="s">
        <v>1066</v>
      </c>
    </row>
    <row r="399" spans="1:19" ht="91.2">
      <c r="A399" s="1" t="s">
        <v>1410</v>
      </c>
      <c r="B399" s="1" t="s">
        <v>1382</v>
      </c>
      <c r="C399" s="1" t="s">
        <v>1382</v>
      </c>
      <c r="D399" s="1" t="s">
        <v>1382</v>
      </c>
      <c r="E399" s="1" t="s">
        <v>22</v>
      </c>
      <c r="F399" s="1" t="s">
        <v>1411</v>
      </c>
      <c r="G399" s="1" t="s">
        <v>403</v>
      </c>
      <c r="H399" s="1" t="s">
        <v>1384</v>
      </c>
      <c r="I399" s="1" t="s">
        <v>1412</v>
      </c>
      <c r="J399" s="2">
        <v>25</v>
      </c>
      <c r="K399" s="3">
        <v>42.380102000000001</v>
      </c>
      <c r="L399" s="3">
        <v>69.596642000000003</v>
      </c>
      <c r="M399" s="1" t="s">
        <v>1413</v>
      </c>
      <c r="N399" s="1" t="s">
        <v>1167</v>
      </c>
      <c r="O399" s="1" t="s">
        <v>1065</v>
      </c>
      <c r="P399" s="1" t="s">
        <v>59</v>
      </c>
      <c r="Q399" s="1" t="s">
        <v>61</v>
      </c>
      <c r="R399" s="1" t="s">
        <v>61</v>
      </c>
      <c r="S399" s="1" t="s">
        <v>1066</v>
      </c>
    </row>
    <row r="400" spans="1:19" ht="79.8">
      <c r="A400" s="1" t="s">
        <v>1414</v>
      </c>
      <c r="B400" s="1" t="s">
        <v>1415</v>
      </c>
      <c r="C400" s="1" t="s">
        <v>1415</v>
      </c>
      <c r="D400" s="1" t="s">
        <v>55</v>
      </c>
      <c r="E400" s="1" t="s">
        <v>22</v>
      </c>
      <c r="F400" s="1" t="s">
        <v>1416</v>
      </c>
      <c r="G400" s="1" t="s">
        <v>1218</v>
      </c>
      <c r="H400" s="1" t="s">
        <v>1417</v>
      </c>
      <c r="I400" s="1" t="s">
        <v>1418</v>
      </c>
      <c r="J400" s="2">
        <v>1</v>
      </c>
      <c r="K400" s="3">
        <v>42.351469999999999</v>
      </c>
      <c r="L400" s="3">
        <v>69.655028999999999</v>
      </c>
      <c r="M400" s="1" t="s">
        <v>1419</v>
      </c>
      <c r="N400" s="1" t="s">
        <v>1245</v>
      </c>
      <c r="O400" s="1" t="s">
        <v>1051</v>
      </c>
      <c r="P400" s="1" t="s">
        <v>59</v>
      </c>
      <c r="Q400" s="1" t="s">
        <v>61</v>
      </c>
      <c r="R400" s="1" t="s">
        <v>61</v>
      </c>
      <c r="S400" s="1" t="s">
        <v>1420</v>
      </c>
    </row>
    <row r="401" spans="1:19" ht="114">
      <c r="A401" s="1" t="s">
        <v>1421</v>
      </c>
      <c r="B401" s="1" t="s">
        <v>1005</v>
      </c>
      <c r="C401" s="1" t="s">
        <v>1005</v>
      </c>
      <c r="D401" s="1" t="s">
        <v>1005</v>
      </c>
      <c r="E401" s="1" t="s">
        <v>22</v>
      </c>
      <c r="F401" s="1" t="s">
        <v>1422</v>
      </c>
      <c r="G401" s="1" t="s">
        <v>1295</v>
      </c>
      <c r="H401" s="1" t="s">
        <v>1007</v>
      </c>
      <c r="I401" s="1" t="s">
        <v>1423</v>
      </c>
      <c r="J401" s="2">
        <v>26</v>
      </c>
      <c r="K401" s="3">
        <v>42.297747000000001</v>
      </c>
      <c r="L401" s="3">
        <v>69.616906</v>
      </c>
      <c r="M401" s="1" t="s">
        <v>1424</v>
      </c>
      <c r="N401" s="1" t="s">
        <v>1425</v>
      </c>
      <c r="O401" s="1" t="s">
        <v>1200</v>
      </c>
      <c r="P401" s="1" t="s">
        <v>59</v>
      </c>
      <c r="Q401" s="1" t="s">
        <v>61</v>
      </c>
      <c r="R401" s="1" t="s">
        <v>61</v>
      </c>
      <c r="S401" s="1" t="s">
        <v>1201</v>
      </c>
    </row>
    <row r="402" spans="1:19" ht="114">
      <c r="A402" s="1" t="s">
        <v>1426</v>
      </c>
      <c r="B402" s="1" t="s">
        <v>1005</v>
      </c>
      <c r="C402" s="1" t="s">
        <v>1005</v>
      </c>
      <c r="D402" s="1" t="s">
        <v>1005</v>
      </c>
      <c r="E402" s="1" t="s">
        <v>22</v>
      </c>
      <c r="F402" s="1" t="s">
        <v>1427</v>
      </c>
      <c r="G402" s="1" t="s">
        <v>251</v>
      </c>
      <c r="H402" s="1" t="s">
        <v>1007</v>
      </c>
      <c r="I402" s="1" t="s">
        <v>1428</v>
      </c>
      <c r="J402" s="2">
        <v>26</v>
      </c>
      <c r="K402" s="3">
        <v>42.303207</v>
      </c>
      <c r="L402" s="3">
        <v>69.592731000000001</v>
      </c>
      <c r="M402" s="1" t="s">
        <v>1429</v>
      </c>
      <c r="N402" s="1" t="s">
        <v>1430</v>
      </c>
      <c r="O402" s="1" t="s">
        <v>1200</v>
      </c>
      <c r="P402" s="1" t="s">
        <v>59</v>
      </c>
      <c r="Q402" s="1" t="s">
        <v>61</v>
      </c>
      <c r="R402" s="1" t="s">
        <v>61</v>
      </c>
      <c r="S402" s="1" t="s">
        <v>1431</v>
      </c>
    </row>
    <row r="403" spans="1:19" ht="22.8">
      <c r="A403" s="1" t="s">
        <v>1432</v>
      </c>
      <c r="B403" s="1" t="s">
        <v>1005</v>
      </c>
      <c r="C403" s="1" t="s">
        <v>1005</v>
      </c>
      <c r="D403" s="1" t="s">
        <v>1005</v>
      </c>
      <c r="E403" s="1" t="s">
        <v>22</v>
      </c>
      <c r="F403" s="1"/>
      <c r="G403" s="1"/>
      <c r="H403" s="1"/>
      <c r="I403" s="1"/>
      <c r="J403" s="2"/>
      <c r="K403" s="3">
        <v>42.304752200000003</v>
      </c>
      <c r="L403" s="3">
        <v>69.647314399999999</v>
      </c>
      <c r="M403" s="1" t="s">
        <v>1433</v>
      </c>
      <c r="N403" s="1"/>
      <c r="O403" s="1" t="s">
        <v>58</v>
      </c>
      <c r="P403" s="1" t="s">
        <v>59</v>
      </c>
      <c r="Q403" s="1" t="s">
        <v>60</v>
      </c>
      <c r="R403" s="1" t="s">
        <v>61</v>
      </c>
      <c r="S403" s="1" t="s">
        <v>66</v>
      </c>
    </row>
    <row r="404" spans="1:19" ht="114">
      <c r="A404" s="1" t="s">
        <v>1434</v>
      </c>
      <c r="B404" s="1" t="s">
        <v>1005</v>
      </c>
      <c r="C404" s="1" t="s">
        <v>1005</v>
      </c>
      <c r="D404" s="1" t="s">
        <v>1005</v>
      </c>
      <c r="E404" s="1" t="s">
        <v>22</v>
      </c>
      <c r="F404" s="1" t="s">
        <v>1435</v>
      </c>
      <c r="G404" s="1" t="s">
        <v>251</v>
      </c>
      <c r="H404" s="1" t="s">
        <v>1007</v>
      </c>
      <c r="I404" s="1" t="s">
        <v>1436</v>
      </c>
      <c r="J404" s="2">
        <v>26</v>
      </c>
      <c r="K404" s="3">
        <v>42.305660000000003</v>
      </c>
      <c r="L404" s="3">
        <v>69.582115000000002</v>
      </c>
      <c r="M404" s="1" t="s">
        <v>1437</v>
      </c>
      <c r="N404" s="1" t="s">
        <v>1438</v>
      </c>
      <c r="O404" s="1" t="s">
        <v>1200</v>
      </c>
      <c r="P404" s="1" t="s">
        <v>59</v>
      </c>
      <c r="Q404" s="1" t="s">
        <v>61</v>
      </c>
      <c r="R404" s="1" t="s">
        <v>61</v>
      </c>
      <c r="S404" s="1" t="s">
        <v>1431</v>
      </c>
    </row>
    <row r="405" spans="1:19" ht="114">
      <c r="A405" s="1" t="s">
        <v>1439</v>
      </c>
      <c r="B405" s="1" t="s">
        <v>1005</v>
      </c>
      <c r="C405" s="1" t="s">
        <v>1005</v>
      </c>
      <c r="D405" s="1" t="s">
        <v>1005</v>
      </c>
      <c r="E405" s="1" t="s">
        <v>22</v>
      </c>
      <c r="F405" s="1" t="s">
        <v>1440</v>
      </c>
      <c r="G405" s="1" t="s">
        <v>614</v>
      </c>
      <c r="H405" s="1" t="s">
        <v>1007</v>
      </c>
      <c r="I405" s="1" t="s">
        <v>1441</v>
      </c>
      <c r="J405" s="2">
        <v>26</v>
      </c>
      <c r="K405" s="3">
        <v>42.308886999999999</v>
      </c>
      <c r="L405" s="3">
        <v>69.576567999999995</v>
      </c>
      <c r="M405" s="1" t="s">
        <v>1442</v>
      </c>
      <c r="N405" s="1" t="s">
        <v>1443</v>
      </c>
      <c r="O405" s="1" t="s">
        <v>1200</v>
      </c>
      <c r="P405" s="1" t="s">
        <v>59</v>
      </c>
      <c r="Q405" s="1" t="s">
        <v>61</v>
      </c>
      <c r="R405" s="1" t="s">
        <v>61</v>
      </c>
      <c r="S405" s="1" t="s">
        <v>1431</v>
      </c>
    </row>
    <row r="406" spans="1:19" ht="114">
      <c r="A406" s="1" t="s">
        <v>1444</v>
      </c>
      <c r="B406" s="1" t="s">
        <v>1005</v>
      </c>
      <c r="C406" s="1" t="s">
        <v>1005</v>
      </c>
      <c r="D406" s="1" t="s">
        <v>1005</v>
      </c>
      <c r="E406" s="1" t="s">
        <v>22</v>
      </c>
      <c r="F406" s="1" t="s">
        <v>1445</v>
      </c>
      <c r="G406" s="1" t="s">
        <v>251</v>
      </c>
      <c r="H406" s="1" t="s">
        <v>1007</v>
      </c>
      <c r="I406" s="1" t="s">
        <v>1446</v>
      </c>
      <c r="J406" s="2">
        <v>26</v>
      </c>
      <c r="K406" s="3">
        <v>42.313924</v>
      </c>
      <c r="L406" s="3">
        <v>69.614812000000001</v>
      </c>
      <c r="M406" s="1" t="s">
        <v>1447</v>
      </c>
      <c r="N406" s="1" t="s">
        <v>1448</v>
      </c>
      <c r="O406" s="1" t="s">
        <v>1200</v>
      </c>
      <c r="P406" s="1" t="s">
        <v>59</v>
      </c>
      <c r="Q406" s="1" t="s">
        <v>61</v>
      </c>
      <c r="R406" s="1" t="s">
        <v>61</v>
      </c>
      <c r="S406" s="1" t="s">
        <v>1431</v>
      </c>
    </row>
    <row r="407" spans="1:19" ht="114">
      <c r="A407" s="1" t="s">
        <v>1449</v>
      </c>
      <c r="B407" s="1" t="s">
        <v>1005</v>
      </c>
      <c r="C407" s="1" t="s">
        <v>1005</v>
      </c>
      <c r="D407" s="1" t="s">
        <v>1005</v>
      </c>
      <c r="E407" s="1" t="s">
        <v>22</v>
      </c>
      <c r="F407" s="1" t="s">
        <v>1450</v>
      </c>
      <c r="G407" s="1" t="s">
        <v>251</v>
      </c>
      <c r="H407" s="1" t="s">
        <v>1007</v>
      </c>
      <c r="I407" s="1" t="s">
        <v>1451</v>
      </c>
      <c r="J407" s="2">
        <v>26</v>
      </c>
      <c r="K407" s="3">
        <v>42.319527000000001</v>
      </c>
      <c r="L407" s="3">
        <v>69.595799999999997</v>
      </c>
      <c r="M407" s="1" t="s">
        <v>1452</v>
      </c>
      <c r="N407" s="1" t="s">
        <v>1453</v>
      </c>
      <c r="O407" s="1" t="s">
        <v>1200</v>
      </c>
      <c r="P407" s="1" t="s">
        <v>59</v>
      </c>
      <c r="Q407" s="1" t="s">
        <v>61</v>
      </c>
      <c r="R407" s="1" t="s">
        <v>61</v>
      </c>
      <c r="S407" s="1" t="s">
        <v>1201</v>
      </c>
    </row>
    <row r="408" spans="1:19" ht="114">
      <c r="A408" s="1" t="s">
        <v>1454</v>
      </c>
      <c r="B408" s="1" t="s">
        <v>1005</v>
      </c>
      <c r="C408" s="1" t="s">
        <v>1005</v>
      </c>
      <c r="D408" s="1" t="s">
        <v>1005</v>
      </c>
      <c r="E408" s="1" t="s">
        <v>22</v>
      </c>
      <c r="F408" s="1" t="s">
        <v>1455</v>
      </c>
      <c r="G408" s="1" t="s">
        <v>614</v>
      </c>
      <c r="H408" s="1" t="s">
        <v>1007</v>
      </c>
      <c r="I408" s="1" t="s">
        <v>1456</v>
      </c>
      <c r="J408" s="2">
        <v>26</v>
      </c>
      <c r="K408" s="3">
        <v>42.319581999999997</v>
      </c>
      <c r="L408" s="3">
        <v>69.550955999999999</v>
      </c>
      <c r="M408" s="1" t="s">
        <v>1457</v>
      </c>
      <c r="N408" s="1" t="s">
        <v>1458</v>
      </c>
      <c r="O408" s="1" t="s">
        <v>1200</v>
      </c>
      <c r="P408" s="1" t="s">
        <v>59</v>
      </c>
      <c r="Q408" s="1" t="s">
        <v>61</v>
      </c>
      <c r="R408" s="1" t="s">
        <v>61</v>
      </c>
      <c r="S408" s="1" t="s">
        <v>1431</v>
      </c>
    </row>
    <row r="409" spans="1:19" ht="114">
      <c r="A409" s="1" t="s">
        <v>1459</v>
      </c>
      <c r="B409" s="1" t="s">
        <v>1005</v>
      </c>
      <c r="C409" s="1" t="s">
        <v>1005</v>
      </c>
      <c r="D409" s="1" t="s">
        <v>1005</v>
      </c>
      <c r="E409" s="1" t="s">
        <v>22</v>
      </c>
      <c r="F409" s="1" t="s">
        <v>1460</v>
      </c>
      <c r="G409" s="1" t="s">
        <v>1295</v>
      </c>
      <c r="H409" s="1" t="s">
        <v>1007</v>
      </c>
      <c r="I409" s="1" t="s">
        <v>1461</v>
      </c>
      <c r="J409" s="2">
        <v>26</v>
      </c>
      <c r="K409" s="3">
        <v>42.324956</v>
      </c>
      <c r="L409" s="3">
        <v>69.640624000000003</v>
      </c>
      <c r="M409" s="1" t="s">
        <v>1462</v>
      </c>
      <c r="N409" s="1" t="s">
        <v>1463</v>
      </c>
      <c r="O409" s="1" t="s">
        <v>1200</v>
      </c>
      <c r="P409" s="1" t="s">
        <v>59</v>
      </c>
      <c r="Q409" s="1" t="s">
        <v>61</v>
      </c>
      <c r="R409" s="1" t="s">
        <v>61</v>
      </c>
      <c r="S409" s="1" t="s">
        <v>1431</v>
      </c>
    </row>
    <row r="410" spans="1:19" ht="114">
      <c r="A410" s="1" t="s">
        <v>1464</v>
      </c>
      <c r="B410" s="1" t="s">
        <v>1005</v>
      </c>
      <c r="C410" s="1" t="s">
        <v>1005</v>
      </c>
      <c r="D410" s="1" t="s">
        <v>1005</v>
      </c>
      <c r="E410" s="1" t="s">
        <v>22</v>
      </c>
      <c r="F410" s="1" t="s">
        <v>1465</v>
      </c>
      <c r="G410" s="1" t="s">
        <v>251</v>
      </c>
      <c r="H410" s="1" t="s">
        <v>1007</v>
      </c>
      <c r="I410" s="1" t="s">
        <v>1466</v>
      </c>
      <c r="J410" s="2">
        <v>26</v>
      </c>
      <c r="K410" s="3">
        <v>42.327494999999999</v>
      </c>
      <c r="L410" s="3">
        <v>69.596744999999999</v>
      </c>
      <c r="M410" s="1" t="s">
        <v>1467</v>
      </c>
      <c r="N410" s="1" t="s">
        <v>1468</v>
      </c>
      <c r="O410" s="1" t="s">
        <v>1200</v>
      </c>
      <c r="P410" s="1" t="s">
        <v>59</v>
      </c>
      <c r="Q410" s="1" t="s">
        <v>61</v>
      </c>
      <c r="R410" s="1" t="s">
        <v>61</v>
      </c>
      <c r="S410" s="1" t="s">
        <v>1431</v>
      </c>
    </row>
    <row r="411" spans="1:19" ht="114">
      <c r="A411" s="1" t="s">
        <v>1469</v>
      </c>
      <c r="B411" s="1" t="s">
        <v>1005</v>
      </c>
      <c r="C411" s="1" t="s">
        <v>1005</v>
      </c>
      <c r="D411" s="1" t="s">
        <v>1005</v>
      </c>
      <c r="E411" s="1" t="s">
        <v>22</v>
      </c>
      <c r="F411" s="1" t="s">
        <v>1470</v>
      </c>
      <c r="G411" s="1" t="s">
        <v>251</v>
      </c>
      <c r="H411" s="1" t="s">
        <v>1007</v>
      </c>
      <c r="I411" s="1" t="s">
        <v>1471</v>
      </c>
      <c r="J411" s="2">
        <v>26</v>
      </c>
      <c r="K411" s="3">
        <v>42.328825999999999</v>
      </c>
      <c r="L411" s="3">
        <v>69.618373000000005</v>
      </c>
      <c r="M411" s="1" t="s">
        <v>1472</v>
      </c>
      <c r="N411" s="1" t="s">
        <v>1473</v>
      </c>
      <c r="O411" s="1" t="s">
        <v>1200</v>
      </c>
      <c r="P411" s="1" t="s">
        <v>59</v>
      </c>
      <c r="Q411" s="1" t="s">
        <v>61</v>
      </c>
      <c r="R411" s="1" t="s">
        <v>61</v>
      </c>
      <c r="S411" s="1" t="s">
        <v>1431</v>
      </c>
    </row>
    <row r="412" spans="1:19" ht="114">
      <c r="A412" s="1" t="s">
        <v>1474</v>
      </c>
      <c r="B412" s="1" t="s">
        <v>1005</v>
      </c>
      <c r="C412" s="1" t="s">
        <v>1005</v>
      </c>
      <c r="D412" s="1" t="s">
        <v>1005</v>
      </c>
      <c r="E412" s="1" t="s">
        <v>22</v>
      </c>
      <c r="F412" s="1" t="s">
        <v>1475</v>
      </c>
      <c r="G412" s="1" t="s">
        <v>1295</v>
      </c>
      <c r="H412" s="1" t="s">
        <v>1007</v>
      </c>
      <c r="I412" s="1" t="s">
        <v>1476</v>
      </c>
      <c r="J412" s="2">
        <v>26</v>
      </c>
      <c r="K412" s="3">
        <v>42.331335000000003</v>
      </c>
      <c r="L412" s="3">
        <v>69.644090000000006</v>
      </c>
      <c r="M412" s="1" t="s">
        <v>1477</v>
      </c>
      <c r="N412" s="1" t="s">
        <v>1478</v>
      </c>
      <c r="O412" s="1" t="s">
        <v>1200</v>
      </c>
      <c r="P412" s="1" t="s">
        <v>59</v>
      </c>
      <c r="Q412" s="1" t="s">
        <v>61</v>
      </c>
      <c r="R412" s="1" t="s">
        <v>61</v>
      </c>
      <c r="S412" s="1" t="s">
        <v>1431</v>
      </c>
    </row>
    <row r="413" spans="1:19" ht="22.8">
      <c r="A413" s="1" t="s">
        <v>1479</v>
      </c>
      <c r="B413" s="1" t="s">
        <v>1005</v>
      </c>
      <c r="C413" s="1" t="s">
        <v>1005</v>
      </c>
      <c r="D413" s="1" t="s">
        <v>1005</v>
      </c>
      <c r="E413" s="1" t="s">
        <v>22</v>
      </c>
      <c r="F413" s="1"/>
      <c r="G413" s="1"/>
      <c r="H413" s="1"/>
      <c r="I413" s="1"/>
      <c r="J413" s="2"/>
      <c r="K413" s="3">
        <v>42.335569200000002</v>
      </c>
      <c r="L413" s="3">
        <v>69.599493899999999</v>
      </c>
      <c r="M413" s="1" t="s">
        <v>1480</v>
      </c>
      <c r="N413" s="1"/>
      <c r="O413" s="1" t="s">
        <v>58</v>
      </c>
      <c r="P413" s="1" t="s">
        <v>59</v>
      </c>
      <c r="Q413" s="1" t="s">
        <v>60</v>
      </c>
      <c r="R413" s="1" t="s">
        <v>61</v>
      </c>
      <c r="S413" s="1" t="s">
        <v>66</v>
      </c>
    </row>
    <row r="414" spans="1:19" ht="114">
      <c r="A414" s="1" t="s">
        <v>1481</v>
      </c>
      <c r="B414" s="1" t="s">
        <v>1005</v>
      </c>
      <c r="C414" s="1" t="s">
        <v>1005</v>
      </c>
      <c r="D414" s="1" t="s">
        <v>1005</v>
      </c>
      <c r="E414" s="1" t="s">
        <v>22</v>
      </c>
      <c r="F414" s="1" t="s">
        <v>1482</v>
      </c>
      <c r="G414" s="1" t="s">
        <v>614</v>
      </c>
      <c r="H414" s="1" t="s">
        <v>1007</v>
      </c>
      <c r="I414" s="1" t="s">
        <v>1483</v>
      </c>
      <c r="J414" s="2">
        <v>26</v>
      </c>
      <c r="K414" s="3">
        <v>42.339388999999997</v>
      </c>
      <c r="L414" s="3">
        <v>69.601331999999999</v>
      </c>
      <c r="M414" s="1" t="s">
        <v>1484</v>
      </c>
      <c r="N414" s="1" t="s">
        <v>1485</v>
      </c>
      <c r="O414" s="1" t="s">
        <v>1200</v>
      </c>
      <c r="P414" s="1" t="s">
        <v>59</v>
      </c>
      <c r="Q414" s="1" t="s">
        <v>61</v>
      </c>
      <c r="R414" s="1" t="s">
        <v>61</v>
      </c>
      <c r="S414" s="1" t="s">
        <v>1431</v>
      </c>
    </row>
    <row r="415" spans="1:19" ht="114">
      <c r="A415" s="1" t="s">
        <v>1486</v>
      </c>
      <c r="B415" s="1" t="s">
        <v>1005</v>
      </c>
      <c r="C415" s="1" t="s">
        <v>1005</v>
      </c>
      <c r="D415" s="1" t="s">
        <v>1005</v>
      </c>
      <c r="E415" s="1" t="s">
        <v>22</v>
      </c>
      <c r="F415" s="1" t="s">
        <v>1487</v>
      </c>
      <c r="G415" s="1" t="s">
        <v>251</v>
      </c>
      <c r="H415" s="1" t="s">
        <v>1007</v>
      </c>
      <c r="I415" s="1" t="s">
        <v>1488</v>
      </c>
      <c r="J415" s="2">
        <v>26</v>
      </c>
      <c r="K415" s="3">
        <v>42.340381999999998</v>
      </c>
      <c r="L415" s="3">
        <v>69.637168000000003</v>
      </c>
      <c r="M415" s="1" t="s">
        <v>1489</v>
      </c>
      <c r="N415" s="1" t="s">
        <v>1490</v>
      </c>
      <c r="O415" s="1" t="s">
        <v>1200</v>
      </c>
      <c r="P415" s="1" t="s">
        <v>59</v>
      </c>
      <c r="Q415" s="1" t="s">
        <v>61</v>
      </c>
      <c r="R415" s="1" t="s">
        <v>61</v>
      </c>
      <c r="S415" s="1" t="s">
        <v>1431</v>
      </c>
    </row>
    <row r="416" spans="1:19" ht="114">
      <c r="A416" s="1" t="s">
        <v>1491</v>
      </c>
      <c r="B416" s="1" t="s">
        <v>1005</v>
      </c>
      <c r="C416" s="1" t="s">
        <v>1005</v>
      </c>
      <c r="D416" s="1" t="s">
        <v>1005</v>
      </c>
      <c r="E416" s="1" t="s">
        <v>22</v>
      </c>
      <c r="F416" s="1" t="s">
        <v>1492</v>
      </c>
      <c r="G416" s="1" t="s">
        <v>614</v>
      </c>
      <c r="H416" s="1" t="s">
        <v>1007</v>
      </c>
      <c r="I416" s="1" t="s">
        <v>1493</v>
      </c>
      <c r="J416" s="2">
        <v>26</v>
      </c>
      <c r="K416" s="3">
        <v>42.3447417</v>
      </c>
      <c r="L416" s="3">
        <v>69.624830000000003</v>
      </c>
      <c r="M416" s="1" t="s">
        <v>1494</v>
      </c>
      <c r="N416" s="1" t="s">
        <v>1495</v>
      </c>
      <c r="O416" s="1" t="s">
        <v>815</v>
      </c>
      <c r="P416" s="1" t="s">
        <v>59</v>
      </c>
      <c r="Q416" s="1" t="s">
        <v>60</v>
      </c>
      <c r="R416" s="1" t="s">
        <v>61</v>
      </c>
      <c r="S416" s="1" t="s">
        <v>1011</v>
      </c>
    </row>
    <row r="417" spans="1:19" ht="114">
      <c r="A417" s="1" t="s">
        <v>1496</v>
      </c>
      <c r="B417" s="1" t="s">
        <v>1005</v>
      </c>
      <c r="C417" s="1" t="s">
        <v>1005</v>
      </c>
      <c r="D417" s="1" t="s">
        <v>1005</v>
      </c>
      <c r="E417" s="1" t="s">
        <v>22</v>
      </c>
      <c r="F417" s="1" t="s">
        <v>1497</v>
      </c>
      <c r="G417" s="1" t="s">
        <v>614</v>
      </c>
      <c r="H417" s="1" t="s">
        <v>1007</v>
      </c>
      <c r="I417" s="1" t="s">
        <v>1498</v>
      </c>
      <c r="J417" s="2">
        <v>26</v>
      </c>
      <c r="K417" s="3">
        <v>42.346136700000002</v>
      </c>
      <c r="L417" s="3">
        <v>69.613498399999997</v>
      </c>
      <c r="M417" s="1" t="s">
        <v>1499</v>
      </c>
      <c r="N417" s="1" t="s">
        <v>1500</v>
      </c>
      <c r="O417" s="1" t="s">
        <v>815</v>
      </c>
      <c r="P417" s="1" t="s">
        <v>59</v>
      </c>
      <c r="Q417" s="1" t="s">
        <v>60</v>
      </c>
      <c r="R417" s="1" t="s">
        <v>61</v>
      </c>
      <c r="S417" s="1" t="s">
        <v>1011</v>
      </c>
    </row>
    <row r="418" spans="1:19" ht="22.8">
      <c r="A418" s="1" t="s">
        <v>1501</v>
      </c>
      <c r="B418" s="1" t="s">
        <v>1005</v>
      </c>
      <c r="C418" s="1" t="s">
        <v>1005</v>
      </c>
      <c r="D418" s="1" t="s">
        <v>1005</v>
      </c>
      <c r="E418" s="1" t="s">
        <v>22</v>
      </c>
      <c r="F418" s="1"/>
      <c r="G418" s="1"/>
      <c r="H418" s="1"/>
      <c r="I418" s="1"/>
      <c r="J418" s="2"/>
      <c r="K418" s="3">
        <v>42.347529299999998</v>
      </c>
      <c r="L418" s="3">
        <v>69.614989100000003</v>
      </c>
      <c r="M418" s="1" t="s">
        <v>1502</v>
      </c>
      <c r="N418" s="1"/>
      <c r="O418" s="1" t="s">
        <v>58</v>
      </c>
      <c r="P418" s="1" t="s">
        <v>59</v>
      </c>
      <c r="Q418" s="1" t="s">
        <v>60</v>
      </c>
      <c r="R418" s="1" t="s">
        <v>61</v>
      </c>
      <c r="S418" s="1" t="s">
        <v>66</v>
      </c>
    </row>
    <row r="419" spans="1:19" ht="114">
      <c r="A419" s="1" t="s">
        <v>1503</v>
      </c>
      <c r="B419" s="1" t="s">
        <v>1005</v>
      </c>
      <c r="C419" s="1" t="s">
        <v>1005</v>
      </c>
      <c r="D419" s="1" t="s">
        <v>1005</v>
      </c>
      <c r="E419" s="1" t="s">
        <v>22</v>
      </c>
      <c r="F419" s="1" t="s">
        <v>1504</v>
      </c>
      <c r="G419" s="1" t="s">
        <v>403</v>
      </c>
      <c r="H419" s="1" t="s">
        <v>1007</v>
      </c>
      <c r="I419" s="1" t="s">
        <v>1505</v>
      </c>
      <c r="J419" s="2">
        <v>26</v>
      </c>
      <c r="K419" s="3">
        <v>42.349713000000001</v>
      </c>
      <c r="L419" s="3">
        <v>69.529786999999999</v>
      </c>
      <c r="M419" s="1" t="s">
        <v>1506</v>
      </c>
      <c r="N419" s="1" t="s">
        <v>1507</v>
      </c>
      <c r="O419" s="1" t="s">
        <v>1200</v>
      </c>
      <c r="P419" s="1" t="s">
        <v>59</v>
      </c>
      <c r="Q419" s="1" t="s">
        <v>61</v>
      </c>
      <c r="R419" s="1" t="s">
        <v>61</v>
      </c>
      <c r="S419" s="1" t="s">
        <v>1431</v>
      </c>
    </row>
    <row r="420" spans="1:19" ht="114">
      <c r="A420" s="1" t="s">
        <v>1508</v>
      </c>
      <c r="B420" s="1" t="s">
        <v>1005</v>
      </c>
      <c r="C420" s="1" t="s">
        <v>1005</v>
      </c>
      <c r="D420" s="1" t="s">
        <v>1005</v>
      </c>
      <c r="E420" s="1" t="s">
        <v>22</v>
      </c>
      <c r="F420" s="1" t="s">
        <v>1509</v>
      </c>
      <c r="G420" s="1" t="s">
        <v>1218</v>
      </c>
      <c r="H420" s="1" t="s">
        <v>1007</v>
      </c>
      <c r="I420" s="1" t="s">
        <v>1510</v>
      </c>
      <c r="J420" s="2">
        <v>26</v>
      </c>
      <c r="K420" s="3">
        <v>42.351058999999999</v>
      </c>
      <c r="L420" s="3">
        <v>69.656130000000005</v>
      </c>
      <c r="M420" s="1" t="s">
        <v>1511</v>
      </c>
      <c r="N420" s="1" t="s">
        <v>1512</v>
      </c>
      <c r="O420" s="1" t="s">
        <v>1200</v>
      </c>
      <c r="P420" s="1" t="s">
        <v>59</v>
      </c>
      <c r="Q420" s="1" t="s">
        <v>61</v>
      </c>
      <c r="R420" s="1" t="s">
        <v>61</v>
      </c>
      <c r="S420" s="1" t="s">
        <v>1431</v>
      </c>
    </row>
    <row r="421" spans="1:19" ht="114">
      <c r="A421" s="1" t="s">
        <v>1513</v>
      </c>
      <c r="B421" s="1" t="s">
        <v>1005</v>
      </c>
      <c r="C421" s="1" t="s">
        <v>1005</v>
      </c>
      <c r="D421" s="1" t="s">
        <v>1005</v>
      </c>
      <c r="E421" s="1" t="s">
        <v>22</v>
      </c>
      <c r="F421" s="1" t="s">
        <v>1514</v>
      </c>
      <c r="G421" s="1" t="s">
        <v>614</v>
      </c>
      <c r="H421" s="1" t="s">
        <v>1007</v>
      </c>
      <c r="I421" s="1" t="s">
        <v>1515</v>
      </c>
      <c r="J421" s="2">
        <v>26</v>
      </c>
      <c r="K421" s="3">
        <v>42.353803999999997</v>
      </c>
      <c r="L421" s="3">
        <v>69.614405000000005</v>
      </c>
      <c r="M421" s="1" t="s">
        <v>1516</v>
      </c>
      <c r="N421" s="1" t="s">
        <v>1517</v>
      </c>
      <c r="O421" s="1" t="s">
        <v>1200</v>
      </c>
      <c r="P421" s="1" t="s">
        <v>59</v>
      </c>
      <c r="Q421" s="1" t="s">
        <v>61</v>
      </c>
      <c r="R421" s="1" t="s">
        <v>61</v>
      </c>
      <c r="S421" s="1" t="s">
        <v>1431</v>
      </c>
    </row>
    <row r="422" spans="1:19" ht="114">
      <c r="A422" s="1" t="s">
        <v>1518</v>
      </c>
      <c r="B422" s="1" t="s">
        <v>1005</v>
      </c>
      <c r="C422" s="1" t="s">
        <v>1005</v>
      </c>
      <c r="D422" s="1" t="s">
        <v>1005</v>
      </c>
      <c r="E422" s="1" t="s">
        <v>22</v>
      </c>
      <c r="F422" s="1" t="s">
        <v>1519</v>
      </c>
      <c r="G422" s="1" t="s">
        <v>403</v>
      </c>
      <c r="H422" s="1" t="s">
        <v>1007</v>
      </c>
      <c r="I422" s="1" t="s">
        <v>1520</v>
      </c>
      <c r="J422" s="2">
        <v>26</v>
      </c>
      <c r="K422" s="3">
        <v>42.356991999999998</v>
      </c>
      <c r="L422" s="3">
        <v>69.584774999999993</v>
      </c>
      <c r="M422" s="1" t="s">
        <v>1521</v>
      </c>
      <c r="N422" s="1" t="s">
        <v>1522</v>
      </c>
      <c r="O422" s="1" t="s">
        <v>1200</v>
      </c>
      <c r="P422" s="1" t="s">
        <v>59</v>
      </c>
      <c r="Q422" s="1" t="s">
        <v>61</v>
      </c>
      <c r="R422" s="1" t="s">
        <v>61</v>
      </c>
      <c r="S422" s="1" t="s">
        <v>1431</v>
      </c>
    </row>
    <row r="423" spans="1:19" ht="114">
      <c r="A423" s="1" t="s">
        <v>1523</v>
      </c>
      <c r="B423" s="1" t="s">
        <v>1005</v>
      </c>
      <c r="C423" s="1" t="s">
        <v>1005</v>
      </c>
      <c r="D423" s="1" t="s">
        <v>1005</v>
      </c>
      <c r="E423" s="1" t="s">
        <v>22</v>
      </c>
      <c r="F423" s="1" t="s">
        <v>1524</v>
      </c>
      <c r="G423" s="1" t="s">
        <v>1218</v>
      </c>
      <c r="H423" s="1" t="s">
        <v>1007</v>
      </c>
      <c r="I423" s="1" t="s">
        <v>1525</v>
      </c>
      <c r="J423" s="2">
        <v>26</v>
      </c>
      <c r="K423" s="3">
        <v>42.357227999999999</v>
      </c>
      <c r="L423" s="3">
        <v>69.625496999999996</v>
      </c>
      <c r="M423" s="1" t="s">
        <v>1526</v>
      </c>
      <c r="N423" s="1" t="s">
        <v>1527</v>
      </c>
      <c r="O423" s="1" t="s">
        <v>1200</v>
      </c>
      <c r="P423" s="1" t="s">
        <v>59</v>
      </c>
      <c r="Q423" s="1" t="s">
        <v>61</v>
      </c>
      <c r="R423" s="1" t="s">
        <v>61</v>
      </c>
      <c r="S423" s="1" t="s">
        <v>1201</v>
      </c>
    </row>
    <row r="424" spans="1:19" ht="114">
      <c r="A424" s="1" t="s">
        <v>1528</v>
      </c>
      <c r="B424" s="1" t="s">
        <v>1529</v>
      </c>
      <c r="C424" s="1" t="s">
        <v>1529</v>
      </c>
      <c r="D424" s="1" t="s">
        <v>1529</v>
      </c>
      <c r="E424" s="1" t="s">
        <v>22</v>
      </c>
      <c r="F424" s="1" t="s">
        <v>1530</v>
      </c>
      <c r="G424" s="1" t="s">
        <v>614</v>
      </c>
      <c r="H424" s="1" t="s">
        <v>1007</v>
      </c>
      <c r="I424" s="1" t="s">
        <v>1531</v>
      </c>
      <c r="J424" s="2">
        <v>26</v>
      </c>
      <c r="K424" s="3">
        <v>42.334144000000002</v>
      </c>
      <c r="L424" s="3">
        <v>69.559137000000007</v>
      </c>
      <c r="M424" s="1" t="s">
        <v>1532</v>
      </c>
      <c r="N424" s="1" t="s">
        <v>1533</v>
      </c>
      <c r="O424" s="1" t="s">
        <v>1200</v>
      </c>
      <c r="P424" s="1" t="s">
        <v>59</v>
      </c>
      <c r="Q424" s="1" t="s">
        <v>61</v>
      </c>
      <c r="R424" s="1" t="s">
        <v>61</v>
      </c>
      <c r="S424" s="1" t="s">
        <v>1431</v>
      </c>
    </row>
    <row r="425" spans="1:19" ht="114">
      <c r="A425" s="1" t="s">
        <v>1534</v>
      </c>
      <c r="B425" s="1" t="s">
        <v>1529</v>
      </c>
      <c r="C425" s="1" t="s">
        <v>1529</v>
      </c>
      <c r="D425" s="1" t="s">
        <v>1529</v>
      </c>
      <c r="E425" s="1" t="s">
        <v>22</v>
      </c>
      <c r="F425" s="1" t="s">
        <v>1535</v>
      </c>
      <c r="G425" s="1" t="s">
        <v>1218</v>
      </c>
      <c r="H425" s="1" t="s">
        <v>1007</v>
      </c>
      <c r="I425" s="1" t="s">
        <v>1536</v>
      </c>
      <c r="J425" s="2">
        <v>26</v>
      </c>
      <c r="K425" s="3">
        <v>42.361351999999997</v>
      </c>
      <c r="L425" s="3">
        <v>69.636939999999996</v>
      </c>
      <c r="M425" s="1" t="s">
        <v>1537</v>
      </c>
      <c r="N425" s="1" t="s">
        <v>1538</v>
      </c>
      <c r="O425" s="1" t="s">
        <v>1200</v>
      </c>
      <c r="P425" s="1" t="s">
        <v>59</v>
      </c>
      <c r="Q425" s="1" t="s">
        <v>61</v>
      </c>
      <c r="R425" s="1" t="s">
        <v>61</v>
      </c>
      <c r="S425" s="1" t="s">
        <v>1201</v>
      </c>
    </row>
    <row r="426" spans="1:19" ht="79.8">
      <c r="A426" s="1" t="s">
        <v>1539</v>
      </c>
      <c r="B426" s="1" t="s">
        <v>1540</v>
      </c>
      <c r="C426" s="1" t="s">
        <v>1540</v>
      </c>
      <c r="D426" s="1" t="s">
        <v>55</v>
      </c>
      <c r="E426" s="1" t="s">
        <v>22</v>
      </c>
      <c r="F426" s="1" t="s">
        <v>1541</v>
      </c>
      <c r="G426" s="1" t="s">
        <v>403</v>
      </c>
      <c r="H426" s="1" t="s">
        <v>615</v>
      </c>
      <c r="I426" s="1"/>
      <c r="J426" s="2">
        <v>1</v>
      </c>
      <c r="K426" s="3">
        <v>42.378869000000002</v>
      </c>
      <c r="L426" s="3">
        <v>69.598442000000006</v>
      </c>
      <c r="M426" s="1" t="s">
        <v>1542</v>
      </c>
      <c r="N426" s="1" t="s">
        <v>1167</v>
      </c>
      <c r="O426" s="1" t="s">
        <v>1051</v>
      </c>
      <c r="P426" s="1" t="s">
        <v>59</v>
      </c>
      <c r="Q426" s="1" t="s">
        <v>61</v>
      </c>
      <c r="R426" s="1" t="s">
        <v>61</v>
      </c>
      <c r="S426" s="1" t="s">
        <v>1052</v>
      </c>
    </row>
    <row r="427" spans="1:19" ht="79.8">
      <c r="A427" s="1" t="s">
        <v>1543</v>
      </c>
      <c r="B427" s="1" t="s">
        <v>1544</v>
      </c>
      <c r="C427" s="1" t="s">
        <v>1544</v>
      </c>
      <c r="D427" s="1" t="s">
        <v>55</v>
      </c>
      <c r="E427" s="1" t="s">
        <v>22</v>
      </c>
      <c r="F427" s="1" t="s">
        <v>1545</v>
      </c>
      <c r="G427" s="1" t="s">
        <v>1218</v>
      </c>
      <c r="H427" s="1" t="s">
        <v>1546</v>
      </c>
      <c r="I427" s="1"/>
      <c r="J427" s="2">
        <v>1</v>
      </c>
      <c r="K427" s="3">
        <v>42.362383000000001</v>
      </c>
      <c r="L427" s="3">
        <v>69.666336999999999</v>
      </c>
      <c r="M427" s="1" t="s">
        <v>1547</v>
      </c>
      <c r="N427" s="1" t="s">
        <v>1245</v>
      </c>
      <c r="O427" s="1" t="s">
        <v>1051</v>
      </c>
      <c r="P427" s="1" t="s">
        <v>59</v>
      </c>
      <c r="Q427" s="1" t="s">
        <v>61</v>
      </c>
      <c r="R427" s="1" t="s">
        <v>61</v>
      </c>
      <c r="S427" s="1" t="s">
        <v>1052</v>
      </c>
    </row>
    <row r="428" spans="1:19" ht="22.8">
      <c r="A428" s="1" t="s">
        <v>1548</v>
      </c>
      <c r="B428" s="1" t="s">
        <v>1549</v>
      </c>
      <c r="C428" s="1" t="s">
        <v>1549</v>
      </c>
      <c r="D428" s="1" t="s">
        <v>55</v>
      </c>
      <c r="E428" s="1" t="s">
        <v>22</v>
      </c>
      <c r="F428" s="1"/>
      <c r="G428" s="1"/>
      <c r="H428" s="1"/>
      <c r="I428" s="1"/>
      <c r="J428" s="2"/>
      <c r="K428" s="3">
        <v>42.308962700000002</v>
      </c>
      <c r="L428" s="3">
        <v>69.583116899999993</v>
      </c>
      <c r="M428" s="1" t="s">
        <v>1550</v>
      </c>
      <c r="N428" s="1"/>
      <c r="O428" s="1" t="s">
        <v>58</v>
      </c>
      <c r="P428" s="1" t="s">
        <v>59</v>
      </c>
      <c r="Q428" s="1" t="s">
        <v>60</v>
      </c>
      <c r="R428" s="1" t="s">
        <v>61</v>
      </c>
      <c r="S428" s="1" t="s">
        <v>66</v>
      </c>
    </row>
    <row r="429" spans="1:19" ht="79.8">
      <c r="A429" s="1" t="s">
        <v>1551</v>
      </c>
      <c r="B429" s="1" t="s">
        <v>1552</v>
      </c>
      <c r="C429" s="1" t="s">
        <v>1552</v>
      </c>
      <c r="D429" s="1" t="s">
        <v>55</v>
      </c>
      <c r="E429" s="1" t="s">
        <v>22</v>
      </c>
      <c r="F429" s="1" t="s">
        <v>1553</v>
      </c>
      <c r="G429" s="1" t="s">
        <v>403</v>
      </c>
      <c r="H429" s="1" t="s">
        <v>1554</v>
      </c>
      <c r="I429" s="1" t="s">
        <v>1555</v>
      </c>
      <c r="J429" s="2">
        <v>1</v>
      </c>
      <c r="K429" s="3">
        <v>42.366923999999997</v>
      </c>
      <c r="L429" s="3">
        <v>69.579898999999997</v>
      </c>
      <c r="M429" s="1" t="s">
        <v>1556</v>
      </c>
      <c r="N429" s="1" t="s">
        <v>1167</v>
      </c>
      <c r="O429" s="1" t="s">
        <v>1051</v>
      </c>
      <c r="P429" s="1" t="s">
        <v>59</v>
      </c>
      <c r="Q429" s="1" t="s">
        <v>61</v>
      </c>
      <c r="R429" s="1" t="s">
        <v>61</v>
      </c>
      <c r="S429" s="1" t="s">
        <v>1052</v>
      </c>
    </row>
    <row r="430" spans="1:19" ht="79.8">
      <c r="A430" s="1" t="s">
        <v>1557</v>
      </c>
      <c r="B430" s="1" t="s">
        <v>1558</v>
      </c>
      <c r="C430" s="1" t="s">
        <v>1558</v>
      </c>
      <c r="D430" s="1" t="s">
        <v>55</v>
      </c>
      <c r="E430" s="1" t="s">
        <v>22</v>
      </c>
      <c r="F430" s="1" t="s">
        <v>1559</v>
      </c>
      <c r="G430" s="1" t="s">
        <v>614</v>
      </c>
      <c r="H430" s="1" t="s">
        <v>1560</v>
      </c>
      <c r="I430" s="1" t="s">
        <v>1561</v>
      </c>
      <c r="J430" s="2">
        <v>1</v>
      </c>
      <c r="K430" s="3">
        <v>42.309638</v>
      </c>
      <c r="L430" s="3">
        <v>69.564854999999994</v>
      </c>
      <c r="M430" s="1" t="s">
        <v>1562</v>
      </c>
      <c r="N430" s="1" t="s">
        <v>1232</v>
      </c>
      <c r="O430" s="1" t="s">
        <v>1051</v>
      </c>
      <c r="P430" s="1" t="s">
        <v>59</v>
      </c>
      <c r="Q430" s="1" t="s">
        <v>61</v>
      </c>
      <c r="R430" s="1" t="s">
        <v>61</v>
      </c>
      <c r="S430" s="1" t="s">
        <v>1255</v>
      </c>
    </row>
    <row r="431" spans="1:19" ht="91.2">
      <c r="A431" s="1" t="s">
        <v>1563</v>
      </c>
      <c r="B431" s="1" t="s">
        <v>1564</v>
      </c>
      <c r="C431" s="1" t="s">
        <v>1564</v>
      </c>
      <c r="D431" s="1" t="s">
        <v>55</v>
      </c>
      <c r="E431" s="1" t="s">
        <v>22</v>
      </c>
      <c r="F431" s="1" t="s">
        <v>1565</v>
      </c>
      <c r="G431" s="1" t="s">
        <v>1295</v>
      </c>
      <c r="H431" s="1" t="s">
        <v>1566</v>
      </c>
      <c r="I431" s="1" t="s">
        <v>1567</v>
      </c>
      <c r="J431" s="2"/>
      <c r="K431" s="3">
        <v>42.3129785</v>
      </c>
      <c r="L431" s="3">
        <v>69.644337800000002</v>
      </c>
      <c r="M431" s="1" t="s">
        <v>1568</v>
      </c>
      <c r="N431" s="1" t="s">
        <v>1569</v>
      </c>
      <c r="O431" s="1" t="s">
        <v>255</v>
      </c>
      <c r="P431" s="1" t="s">
        <v>59</v>
      </c>
      <c r="Q431" s="1" t="s">
        <v>60</v>
      </c>
      <c r="R431" s="1" t="s">
        <v>61</v>
      </c>
      <c r="S431" s="1" t="s">
        <v>66</v>
      </c>
    </row>
    <row r="432" spans="1:19" ht="79.8">
      <c r="A432" s="1" t="s">
        <v>1570</v>
      </c>
      <c r="B432" s="1" t="s">
        <v>1571</v>
      </c>
      <c r="C432" s="1" t="s">
        <v>1571</v>
      </c>
      <c r="D432" s="1" t="s">
        <v>1571</v>
      </c>
      <c r="E432" s="1" t="s">
        <v>22</v>
      </c>
      <c r="F432" s="1" t="s">
        <v>1572</v>
      </c>
      <c r="G432" s="1" t="s">
        <v>251</v>
      </c>
      <c r="H432" s="1"/>
      <c r="I432" s="1" t="s">
        <v>1573</v>
      </c>
      <c r="J432" s="2">
        <v>5</v>
      </c>
      <c r="K432" s="3">
        <v>42.307637999999997</v>
      </c>
      <c r="L432" s="3">
        <v>69.620673999999994</v>
      </c>
      <c r="M432" s="1" t="s">
        <v>1574</v>
      </c>
      <c r="N432" s="1" t="s">
        <v>1277</v>
      </c>
      <c r="O432" s="1" t="s">
        <v>1065</v>
      </c>
      <c r="P432" s="1" t="s">
        <v>59</v>
      </c>
      <c r="Q432" s="1" t="s">
        <v>61</v>
      </c>
      <c r="R432" s="1" t="s">
        <v>61</v>
      </c>
      <c r="S432" s="1" t="s">
        <v>1066</v>
      </c>
    </row>
    <row r="433" spans="1:19" ht="79.8">
      <c r="A433" s="1" t="s">
        <v>1575</v>
      </c>
      <c r="B433" s="1" t="s">
        <v>1571</v>
      </c>
      <c r="C433" s="1" t="s">
        <v>1571</v>
      </c>
      <c r="D433" s="1" t="s">
        <v>1571</v>
      </c>
      <c r="E433" s="1" t="s">
        <v>22</v>
      </c>
      <c r="F433" s="1" t="s">
        <v>1576</v>
      </c>
      <c r="G433" s="1" t="s">
        <v>614</v>
      </c>
      <c r="H433" s="1" t="s">
        <v>615</v>
      </c>
      <c r="I433" s="1" t="s">
        <v>1577</v>
      </c>
      <c r="J433" s="2">
        <v>5</v>
      </c>
      <c r="K433" s="3">
        <v>42.317971999999997</v>
      </c>
      <c r="L433" s="3">
        <v>69.553899000000001</v>
      </c>
      <c r="M433" s="1" t="s">
        <v>1578</v>
      </c>
      <c r="N433" s="1" t="s">
        <v>1232</v>
      </c>
      <c r="O433" s="1" t="s">
        <v>1065</v>
      </c>
      <c r="P433" s="1" t="s">
        <v>59</v>
      </c>
      <c r="Q433" s="1" t="s">
        <v>61</v>
      </c>
      <c r="R433" s="1" t="s">
        <v>61</v>
      </c>
      <c r="S433" s="1" t="s">
        <v>1066</v>
      </c>
    </row>
    <row r="434" spans="1:19" ht="102.6">
      <c r="A434" s="1" t="s">
        <v>1579</v>
      </c>
      <c r="B434" s="1" t="s">
        <v>1571</v>
      </c>
      <c r="C434" s="1" t="s">
        <v>1571</v>
      </c>
      <c r="D434" s="1" t="s">
        <v>1571</v>
      </c>
      <c r="E434" s="1" t="s">
        <v>22</v>
      </c>
      <c r="F434" s="1" t="s">
        <v>1580</v>
      </c>
      <c r="G434" s="1" t="s">
        <v>251</v>
      </c>
      <c r="H434" s="1" t="s">
        <v>615</v>
      </c>
      <c r="I434" s="1" t="s">
        <v>1581</v>
      </c>
      <c r="J434" s="2">
        <v>5</v>
      </c>
      <c r="K434" s="3">
        <v>42.318317999999998</v>
      </c>
      <c r="L434" s="3">
        <v>69.608086</v>
      </c>
      <c r="M434" s="1" t="s">
        <v>1582</v>
      </c>
      <c r="N434" s="1" t="s">
        <v>1277</v>
      </c>
      <c r="O434" s="1" t="s">
        <v>1065</v>
      </c>
      <c r="P434" s="1" t="s">
        <v>59</v>
      </c>
      <c r="Q434" s="1" t="s">
        <v>61</v>
      </c>
      <c r="R434" s="1" t="s">
        <v>61</v>
      </c>
      <c r="S434" s="1" t="s">
        <v>1391</v>
      </c>
    </row>
    <row r="435" spans="1:19" ht="79.8">
      <c r="A435" s="1" t="s">
        <v>1583</v>
      </c>
      <c r="B435" s="1" t="s">
        <v>1571</v>
      </c>
      <c r="C435" s="1" t="s">
        <v>1571</v>
      </c>
      <c r="D435" s="1" t="s">
        <v>1571</v>
      </c>
      <c r="E435" s="1" t="s">
        <v>22</v>
      </c>
      <c r="F435" s="1" t="s">
        <v>1584</v>
      </c>
      <c r="G435" s="1" t="s">
        <v>614</v>
      </c>
      <c r="H435" s="1" t="s">
        <v>615</v>
      </c>
      <c r="I435" s="1" t="s">
        <v>1585</v>
      </c>
      <c r="J435" s="2">
        <v>5</v>
      </c>
      <c r="K435" s="3">
        <v>42.329628999999997</v>
      </c>
      <c r="L435" s="3">
        <v>69.568292</v>
      </c>
      <c r="M435" s="1" t="s">
        <v>1586</v>
      </c>
      <c r="N435" s="1" t="s">
        <v>1232</v>
      </c>
      <c r="O435" s="1" t="s">
        <v>1065</v>
      </c>
      <c r="P435" s="1" t="s">
        <v>59</v>
      </c>
      <c r="Q435" s="1" t="s">
        <v>61</v>
      </c>
      <c r="R435" s="1" t="s">
        <v>61</v>
      </c>
      <c r="S435" s="1" t="s">
        <v>1066</v>
      </c>
    </row>
    <row r="436" spans="1:19" ht="136.80000000000001">
      <c r="A436" s="1" t="s">
        <v>1587</v>
      </c>
      <c r="B436" s="1" t="s">
        <v>1588</v>
      </c>
      <c r="C436" s="1" t="s">
        <v>1588</v>
      </c>
      <c r="D436" s="1" t="s">
        <v>1588</v>
      </c>
      <c r="E436" s="1" t="s">
        <v>32</v>
      </c>
      <c r="F436" s="1" t="s">
        <v>1589</v>
      </c>
      <c r="G436" s="1"/>
      <c r="H436" s="1" t="s">
        <v>1590</v>
      </c>
      <c r="I436" s="1" t="s">
        <v>1591</v>
      </c>
      <c r="J436" s="2">
        <v>1</v>
      </c>
      <c r="K436" s="3">
        <v>42.360480000000003</v>
      </c>
      <c r="L436" s="3">
        <v>69.639696000000001</v>
      </c>
      <c r="M436" s="1" t="s">
        <v>1592</v>
      </c>
      <c r="N436" s="1" t="s">
        <v>1050</v>
      </c>
      <c r="O436" s="1" t="s">
        <v>1065</v>
      </c>
      <c r="P436" s="1" t="s">
        <v>59</v>
      </c>
      <c r="Q436" s="1" t="s">
        <v>61</v>
      </c>
      <c r="R436" s="1" t="s">
        <v>61</v>
      </c>
      <c r="S436" s="1" t="s">
        <v>1066</v>
      </c>
    </row>
    <row r="437" spans="1:19" ht="22.8">
      <c r="A437" s="1" t="s">
        <v>1593</v>
      </c>
      <c r="B437" s="1" t="s">
        <v>861</v>
      </c>
      <c r="C437" s="1" t="s">
        <v>861</v>
      </c>
      <c r="D437" s="1" t="s">
        <v>55</v>
      </c>
      <c r="E437" s="1" t="s">
        <v>33</v>
      </c>
      <c r="F437" s="1"/>
      <c r="G437" s="1"/>
      <c r="H437" s="1"/>
      <c r="I437" s="1"/>
      <c r="J437" s="2"/>
      <c r="K437" s="3">
        <v>42.316181</v>
      </c>
      <c r="L437" s="3">
        <v>69.557650199999998</v>
      </c>
      <c r="M437" s="1" t="s">
        <v>1594</v>
      </c>
      <c r="N437" s="1"/>
      <c r="O437" s="1" t="s">
        <v>58</v>
      </c>
      <c r="P437" s="1" t="s">
        <v>59</v>
      </c>
      <c r="Q437" s="1" t="s">
        <v>863</v>
      </c>
      <c r="R437" s="1" t="s">
        <v>61</v>
      </c>
      <c r="S437" s="1" t="s">
        <v>864</v>
      </c>
    </row>
    <row r="438" spans="1:19" ht="22.8">
      <c r="A438" s="1" t="s">
        <v>1595</v>
      </c>
      <c r="B438" s="1" t="s">
        <v>1596</v>
      </c>
      <c r="C438" s="1" t="s">
        <v>1596</v>
      </c>
      <c r="D438" s="1" t="s">
        <v>55</v>
      </c>
      <c r="E438" s="1" t="s">
        <v>30</v>
      </c>
      <c r="F438" s="1"/>
      <c r="G438" s="1"/>
      <c r="H438" s="1"/>
      <c r="I438" s="1"/>
      <c r="J438" s="2"/>
      <c r="K438" s="3">
        <v>42.350704200000003</v>
      </c>
      <c r="L438" s="3">
        <v>69.570554000000001</v>
      </c>
      <c r="M438" s="1" t="s">
        <v>1597</v>
      </c>
      <c r="N438" s="1"/>
      <c r="O438" s="1" t="s">
        <v>58</v>
      </c>
      <c r="P438" s="1" t="s">
        <v>59</v>
      </c>
      <c r="Q438" s="1" t="s">
        <v>60</v>
      </c>
      <c r="R438" s="1" t="s">
        <v>61</v>
      </c>
      <c r="S438" s="1" t="s">
        <v>66</v>
      </c>
    </row>
    <row r="439" spans="1:19" ht="22.8">
      <c r="A439" s="1" t="s">
        <v>1598</v>
      </c>
      <c r="B439" s="1" t="s">
        <v>861</v>
      </c>
      <c r="C439" s="1" t="s">
        <v>861</v>
      </c>
      <c r="D439" s="1" t="s">
        <v>55</v>
      </c>
      <c r="E439" s="1" t="s">
        <v>30</v>
      </c>
      <c r="F439" s="1"/>
      <c r="G439" s="1"/>
      <c r="H439" s="1"/>
      <c r="I439" s="1"/>
      <c r="J439" s="2"/>
      <c r="K439" s="3">
        <v>42.3539277</v>
      </c>
      <c r="L439" s="3">
        <v>69.584093999999993</v>
      </c>
      <c r="M439" s="1" t="s">
        <v>1599</v>
      </c>
      <c r="N439" s="1"/>
      <c r="O439" s="1" t="s">
        <v>58</v>
      </c>
      <c r="P439" s="1" t="s">
        <v>59</v>
      </c>
      <c r="Q439" s="1" t="s">
        <v>863</v>
      </c>
      <c r="R439" s="1" t="s">
        <v>61</v>
      </c>
      <c r="S439" s="1" t="s">
        <v>864</v>
      </c>
    </row>
    <row r="440" spans="1:19" ht="22.8">
      <c r="A440" s="1" t="s">
        <v>1600</v>
      </c>
      <c r="B440" s="1" t="s">
        <v>1601</v>
      </c>
      <c r="C440" s="1" t="s">
        <v>1601</v>
      </c>
      <c r="D440" s="1" t="s">
        <v>55</v>
      </c>
      <c r="E440" s="1" t="s">
        <v>28</v>
      </c>
      <c r="F440" s="1" t="s">
        <v>1602</v>
      </c>
      <c r="G440" s="1"/>
      <c r="H440" s="1"/>
      <c r="I440" s="1"/>
      <c r="J440" s="2">
        <v>1</v>
      </c>
      <c r="K440" s="3">
        <v>42.350304999999999</v>
      </c>
      <c r="L440" s="3">
        <v>69.528576000000001</v>
      </c>
      <c r="M440" s="1" t="s">
        <v>1603</v>
      </c>
      <c r="N440" s="1"/>
      <c r="O440" s="1" t="s">
        <v>1051</v>
      </c>
      <c r="P440" s="1" t="s">
        <v>59</v>
      </c>
      <c r="Q440" s="1" t="s">
        <v>61</v>
      </c>
      <c r="R440" s="1" t="s">
        <v>60</v>
      </c>
      <c r="S440" s="1" t="s">
        <v>1052</v>
      </c>
    </row>
    <row r="441" spans="1:19" ht="57">
      <c r="A441" s="1" t="s">
        <v>1604</v>
      </c>
      <c r="B441" s="1" t="s">
        <v>1605</v>
      </c>
      <c r="C441" s="1" t="s">
        <v>1605</v>
      </c>
      <c r="D441" s="1" t="s">
        <v>55</v>
      </c>
      <c r="E441" s="1" t="s">
        <v>28</v>
      </c>
      <c r="F441" s="1" t="s">
        <v>1606</v>
      </c>
      <c r="G441" s="1"/>
      <c r="H441" s="1" t="s">
        <v>1607</v>
      </c>
      <c r="I441" s="1"/>
      <c r="J441" s="2">
        <v>1</v>
      </c>
      <c r="K441" s="3">
        <v>42.326504</v>
      </c>
      <c r="L441" s="3">
        <v>69.629524000000004</v>
      </c>
      <c r="M441" s="1" t="s">
        <v>1608</v>
      </c>
      <c r="N441" s="1" t="s">
        <v>1609</v>
      </c>
      <c r="O441" s="1" t="s">
        <v>1610</v>
      </c>
      <c r="P441" s="1" t="s">
        <v>59</v>
      </c>
      <c r="Q441" s="1" t="s">
        <v>61</v>
      </c>
      <c r="R441" s="1" t="s">
        <v>60</v>
      </c>
      <c r="S441" s="1" t="s">
        <v>1132</v>
      </c>
    </row>
    <row r="442" spans="1:19" ht="22.8">
      <c r="A442" s="1" t="s">
        <v>1611</v>
      </c>
      <c r="B442" s="1" t="s">
        <v>1612</v>
      </c>
      <c r="C442" s="1" t="s">
        <v>1612</v>
      </c>
      <c r="D442" s="1" t="s">
        <v>55</v>
      </c>
      <c r="E442" s="1" t="s">
        <v>28</v>
      </c>
      <c r="F442" s="1" t="s">
        <v>1613</v>
      </c>
      <c r="G442" s="1"/>
      <c r="H442" s="1" t="s">
        <v>1614</v>
      </c>
      <c r="I442" s="1"/>
      <c r="J442" s="2">
        <v>1</v>
      </c>
      <c r="K442" s="3">
        <v>42.324973999999997</v>
      </c>
      <c r="L442" s="3">
        <v>69.627697999999995</v>
      </c>
      <c r="M442" s="1" t="s">
        <v>1615</v>
      </c>
      <c r="N442" s="1"/>
      <c r="O442" s="1" t="s">
        <v>1051</v>
      </c>
      <c r="P442" s="1" t="s">
        <v>59</v>
      </c>
      <c r="Q442" s="1" t="s">
        <v>61</v>
      </c>
      <c r="R442" s="1" t="s">
        <v>60</v>
      </c>
      <c r="S442" s="1" t="s">
        <v>1052</v>
      </c>
    </row>
    <row r="443" spans="1:19" ht="45.6">
      <c r="A443" s="1" t="s">
        <v>1616</v>
      </c>
      <c r="B443" s="1" t="s">
        <v>1617</v>
      </c>
      <c r="C443" s="1" t="s">
        <v>1617</v>
      </c>
      <c r="D443" s="1" t="s">
        <v>55</v>
      </c>
      <c r="E443" s="1" t="s">
        <v>28</v>
      </c>
      <c r="F443" s="1" t="s">
        <v>1618</v>
      </c>
      <c r="G443" s="1"/>
      <c r="H443" s="1"/>
      <c r="I443" s="1"/>
      <c r="J443" s="2">
        <v>1</v>
      </c>
      <c r="K443" s="3">
        <v>42.308371999999999</v>
      </c>
      <c r="L443" s="3">
        <v>69.609475000000003</v>
      </c>
      <c r="M443" s="1" t="s">
        <v>1619</v>
      </c>
      <c r="N443" s="1" t="s">
        <v>1620</v>
      </c>
      <c r="O443" s="1" t="s">
        <v>1621</v>
      </c>
      <c r="P443" s="1" t="s">
        <v>59</v>
      </c>
      <c r="Q443" s="1" t="s">
        <v>61</v>
      </c>
      <c r="R443" s="1" t="s">
        <v>60</v>
      </c>
      <c r="S443" s="1" t="s">
        <v>1132</v>
      </c>
    </row>
    <row r="444" spans="1:19" ht="22.8">
      <c r="A444" s="1" t="s">
        <v>1622</v>
      </c>
      <c r="B444" s="1" t="s">
        <v>1623</v>
      </c>
      <c r="C444" s="1" t="s">
        <v>1623</v>
      </c>
      <c r="D444" s="1" t="s">
        <v>1624</v>
      </c>
      <c r="E444" s="1" t="s">
        <v>28</v>
      </c>
      <c r="F444" s="1" t="s">
        <v>1625</v>
      </c>
      <c r="G444" s="1"/>
      <c r="H444" s="1" t="s">
        <v>1626</v>
      </c>
      <c r="I444" s="1"/>
      <c r="J444" s="2">
        <v>1</v>
      </c>
      <c r="K444" s="3">
        <v>42.356838000000003</v>
      </c>
      <c r="L444" s="3">
        <v>69.532934999999995</v>
      </c>
      <c r="M444" s="1" t="s">
        <v>1627</v>
      </c>
      <c r="N444" s="1"/>
      <c r="O444" s="1" t="s">
        <v>1051</v>
      </c>
      <c r="P444" s="1" t="s">
        <v>59</v>
      </c>
      <c r="Q444" s="1" t="s">
        <v>61</v>
      </c>
      <c r="R444" s="1" t="s">
        <v>60</v>
      </c>
      <c r="S444" s="1" t="s">
        <v>1052</v>
      </c>
    </row>
    <row r="445" spans="1:19" ht="45.6">
      <c r="A445" s="1" t="s">
        <v>1628</v>
      </c>
      <c r="B445" s="1" t="s">
        <v>1177</v>
      </c>
      <c r="C445" s="1" t="s">
        <v>1177</v>
      </c>
      <c r="D445" s="1" t="s">
        <v>1629</v>
      </c>
      <c r="E445" s="1" t="s">
        <v>28</v>
      </c>
      <c r="F445" s="1" t="s">
        <v>1630</v>
      </c>
      <c r="G445" s="1"/>
      <c r="H445" s="1" t="s">
        <v>1631</v>
      </c>
      <c r="I445" s="1"/>
      <c r="J445" s="2">
        <v>1</v>
      </c>
      <c r="K445" s="3">
        <v>42.324218999999999</v>
      </c>
      <c r="L445" s="3">
        <v>69.641170000000002</v>
      </c>
      <c r="M445" s="1" t="s">
        <v>1632</v>
      </c>
      <c r="N445" s="1" t="s">
        <v>1620</v>
      </c>
      <c r="O445" s="1" t="s">
        <v>1621</v>
      </c>
      <c r="P445" s="1" t="s">
        <v>59</v>
      </c>
      <c r="Q445" s="1" t="s">
        <v>61</v>
      </c>
      <c r="R445" s="1" t="s">
        <v>60</v>
      </c>
      <c r="S445" s="1" t="s">
        <v>1132</v>
      </c>
    </row>
    <row r="446" spans="1:19" ht="68.400000000000006">
      <c r="A446" s="1" t="s">
        <v>1633</v>
      </c>
      <c r="B446" s="1" t="s">
        <v>1634</v>
      </c>
      <c r="C446" s="1" t="s">
        <v>1634</v>
      </c>
      <c r="D446" s="1" t="s">
        <v>55</v>
      </c>
      <c r="E446" s="1" t="s">
        <v>28</v>
      </c>
      <c r="F446" s="1" t="s">
        <v>1635</v>
      </c>
      <c r="G446" s="1"/>
      <c r="H446" s="1"/>
      <c r="I446" s="1"/>
      <c r="J446" s="2">
        <v>1</v>
      </c>
      <c r="K446" s="3">
        <v>42.354076999999997</v>
      </c>
      <c r="L446" s="3">
        <v>69.529393999999996</v>
      </c>
      <c r="M446" s="1" t="s">
        <v>1636</v>
      </c>
      <c r="N446" s="1" t="s">
        <v>1637</v>
      </c>
      <c r="O446" s="1" t="s">
        <v>1610</v>
      </c>
      <c r="P446" s="1" t="s">
        <v>59</v>
      </c>
      <c r="Q446" s="1" t="s">
        <v>61</v>
      </c>
      <c r="R446" s="1" t="s">
        <v>60</v>
      </c>
      <c r="S446" s="1" t="s">
        <v>1132</v>
      </c>
    </row>
    <row r="447" spans="1:19" ht="22.8">
      <c r="A447" s="1" t="s">
        <v>1638</v>
      </c>
      <c r="B447" s="1" t="s">
        <v>243</v>
      </c>
      <c r="C447" s="1" t="s">
        <v>243</v>
      </c>
      <c r="D447" s="1" t="s">
        <v>243</v>
      </c>
      <c r="E447" s="1" t="s">
        <v>28</v>
      </c>
      <c r="F447" s="1"/>
      <c r="G447" s="1"/>
      <c r="H447" s="1"/>
      <c r="I447" s="1"/>
      <c r="J447" s="2"/>
      <c r="K447" s="3">
        <v>42.342826799999997</v>
      </c>
      <c r="L447" s="3">
        <v>69.625562799999997</v>
      </c>
      <c r="M447" s="1" t="s">
        <v>1639</v>
      </c>
      <c r="N447" s="1"/>
      <c r="O447" s="1" t="s">
        <v>58</v>
      </c>
      <c r="P447" s="1" t="s">
        <v>59</v>
      </c>
      <c r="Q447" s="1" t="s">
        <v>60</v>
      </c>
      <c r="R447" s="1" t="s">
        <v>60</v>
      </c>
      <c r="S447" s="1" t="s">
        <v>66</v>
      </c>
    </row>
    <row r="448" spans="1:19" ht="22.8">
      <c r="A448" s="1" t="s">
        <v>1640</v>
      </c>
      <c r="B448" s="1" t="s">
        <v>1641</v>
      </c>
      <c r="C448" s="1" t="s">
        <v>1641</v>
      </c>
      <c r="D448" s="1" t="s">
        <v>55</v>
      </c>
      <c r="E448" s="1" t="s">
        <v>28</v>
      </c>
      <c r="F448" s="1" t="s">
        <v>1642</v>
      </c>
      <c r="G448" s="1"/>
      <c r="H448" s="1"/>
      <c r="I448" s="1"/>
      <c r="J448" s="2">
        <v>1</v>
      </c>
      <c r="K448" s="3">
        <v>42.439849000000002</v>
      </c>
      <c r="L448" s="3">
        <v>69.53734</v>
      </c>
      <c r="M448" s="1" t="s">
        <v>1643</v>
      </c>
      <c r="N448" s="1"/>
      <c r="O448" s="1" t="s">
        <v>1051</v>
      </c>
      <c r="P448" s="1" t="s">
        <v>59</v>
      </c>
      <c r="Q448" s="1" t="s">
        <v>61</v>
      </c>
      <c r="R448" s="1" t="s">
        <v>60</v>
      </c>
      <c r="S448" s="1" t="s">
        <v>1052</v>
      </c>
    </row>
    <row r="449" spans="1:19" ht="22.8">
      <c r="A449" s="1" t="s">
        <v>1644</v>
      </c>
      <c r="B449" s="1" t="s">
        <v>1645</v>
      </c>
      <c r="C449" s="1" t="s">
        <v>1645</v>
      </c>
      <c r="D449" s="1" t="s">
        <v>55</v>
      </c>
      <c r="E449" s="1" t="s">
        <v>28</v>
      </c>
      <c r="F449" s="1"/>
      <c r="G449" s="1"/>
      <c r="H449" s="1"/>
      <c r="I449" s="1"/>
      <c r="J449" s="2"/>
      <c r="K449" s="3">
        <v>42.352503900000002</v>
      </c>
      <c r="L449" s="3">
        <v>69.704723400000006</v>
      </c>
      <c r="M449" s="1" t="s">
        <v>1646</v>
      </c>
      <c r="N449" s="1"/>
      <c r="O449" s="1" t="s">
        <v>58</v>
      </c>
      <c r="P449" s="1" t="s">
        <v>59</v>
      </c>
      <c r="Q449" s="1" t="s">
        <v>60</v>
      </c>
      <c r="R449" s="1" t="s">
        <v>60</v>
      </c>
      <c r="S449" s="1" t="s">
        <v>66</v>
      </c>
    </row>
    <row r="450" spans="1:19" ht="57">
      <c r="A450" s="1" t="s">
        <v>1647</v>
      </c>
      <c r="B450" s="1" t="s">
        <v>1648</v>
      </c>
      <c r="C450" s="1" t="s">
        <v>1648</v>
      </c>
      <c r="D450" s="1" t="s">
        <v>55</v>
      </c>
      <c r="E450" s="1" t="s">
        <v>28</v>
      </c>
      <c r="F450" s="1" t="s">
        <v>1649</v>
      </c>
      <c r="G450" s="1"/>
      <c r="H450" s="1" t="s">
        <v>1650</v>
      </c>
      <c r="I450" s="1"/>
      <c r="J450" s="2">
        <v>1</v>
      </c>
      <c r="K450" s="3">
        <v>42.365546000000002</v>
      </c>
      <c r="L450" s="3">
        <v>69.524738999999997</v>
      </c>
      <c r="M450" s="1" t="s">
        <v>1651</v>
      </c>
      <c r="N450" s="1" t="s">
        <v>1652</v>
      </c>
      <c r="O450" s="1" t="s">
        <v>1610</v>
      </c>
      <c r="P450" s="1" t="s">
        <v>59</v>
      </c>
      <c r="Q450" s="1" t="s">
        <v>61</v>
      </c>
      <c r="R450" s="1" t="s">
        <v>60</v>
      </c>
      <c r="S450" s="1" t="s">
        <v>1132</v>
      </c>
    </row>
    <row r="451" spans="1:19" ht="45.6">
      <c r="A451" s="1" t="s">
        <v>1653</v>
      </c>
      <c r="B451" s="1" t="s">
        <v>1654</v>
      </c>
      <c r="C451" s="1" t="s">
        <v>1654</v>
      </c>
      <c r="D451" s="1" t="s">
        <v>1655</v>
      </c>
      <c r="E451" s="1" t="s">
        <v>28</v>
      </c>
      <c r="F451" s="1" t="s">
        <v>1504</v>
      </c>
      <c r="G451" s="1"/>
      <c r="H451" s="1" t="s">
        <v>1656</v>
      </c>
      <c r="I451" s="1"/>
      <c r="J451" s="2">
        <v>1</v>
      </c>
      <c r="K451" s="3">
        <v>42.348874000000002</v>
      </c>
      <c r="L451" s="3">
        <v>69.530101999999999</v>
      </c>
      <c r="M451" s="1" t="s">
        <v>1657</v>
      </c>
      <c r="N451" s="1" t="s">
        <v>1658</v>
      </c>
      <c r="O451" s="1" t="s">
        <v>1621</v>
      </c>
      <c r="P451" s="1" t="s">
        <v>59</v>
      </c>
      <c r="Q451" s="1" t="s">
        <v>61</v>
      </c>
      <c r="R451" s="1" t="s">
        <v>60</v>
      </c>
      <c r="S451" s="1" t="s">
        <v>1132</v>
      </c>
    </row>
    <row r="452" spans="1:19" ht="22.8">
      <c r="A452" s="1" t="s">
        <v>1659</v>
      </c>
      <c r="B452" s="1" t="s">
        <v>1660</v>
      </c>
      <c r="C452" s="1" t="s">
        <v>1660</v>
      </c>
      <c r="D452" s="1" t="s">
        <v>1660</v>
      </c>
      <c r="E452" s="1" t="s">
        <v>28</v>
      </c>
      <c r="F452" s="1"/>
      <c r="G452" s="1"/>
      <c r="H452" s="1"/>
      <c r="I452" s="1"/>
      <c r="J452" s="2"/>
      <c r="K452" s="3">
        <v>42.297589299999999</v>
      </c>
      <c r="L452" s="3">
        <v>69.635937699999999</v>
      </c>
      <c r="M452" s="1" t="s">
        <v>1661</v>
      </c>
      <c r="N452" s="1"/>
      <c r="O452" s="1" t="s">
        <v>58</v>
      </c>
      <c r="P452" s="1" t="s">
        <v>59</v>
      </c>
      <c r="Q452" s="1" t="s">
        <v>60</v>
      </c>
      <c r="R452" s="1" t="s">
        <v>60</v>
      </c>
      <c r="S452" s="1" t="s">
        <v>66</v>
      </c>
    </row>
    <row r="453" spans="1:19" ht="45.6">
      <c r="A453" s="1" t="s">
        <v>1662</v>
      </c>
      <c r="B453" s="1" t="s">
        <v>1663</v>
      </c>
      <c r="C453" s="1" t="s">
        <v>1663</v>
      </c>
      <c r="D453" s="1" t="s">
        <v>55</v>
      </c>
      <c r="E453" s="1" t="s">
        <v>28</v>
      </c>
      <c r="F453" s="1"/>
      <c r="G453" s="1"/>
      <c r="H453" s="1"/>
      <c r="I453" s="1"/>
      <c r="J453" s="2"/>
      <c r="K453" s="3">
        <v>42.309874000000001</v>
      </c>
      <c r="L453" s="3">
        <v>69.604536699999997</v>
      </c>
      <c r="M453" s="1" t="s">
        <v>1664</v>
      </c>
      <c r="N453" s="1" t="s">
        <v>1620</v>
      </c>
      <c r="O453" s="1" t="s">
        <v>1665</v>
      </c>
      <c r="P453" s="1" t="s">
        <v>59</v>
      </c>
      <c r="Q453" s="1" t="s">
        <v>61</v>
      </c>
      <c r="R453" s="1" t="s">
        <v>60</v>
      </c>
      <c r="S453" s="1" t="s">
        <v>1132</v>
      </c>
    </row>
    <row r="454" spans="1:19" ht="68.400000000000006">
      <c r="A454" s="1" t="s">
        <v>1666</v>
      </c>
      <c r="B454" s="1" t="s">
        <v>1211</v>
      </c>
      <c r="C454" s="1" t="s">
        <v>1211</v>
      </c>
      <c r="D454" s="1" t="s">
        <v>1667</v>
      </c>
      <c r="E454" s="1" t="s">
        <v>28</v>
      </c>
      <c r="F454" s="1" t="s">
        <v>1668</v>
      </c>
      <c r="G454" s="1"/>
      <c r="H454" s="1" t="s">
        <v>1669</v>
      </c>
      <c r="I454" s="1"/>
      <c r="J454" s="2">
        <v>1</v>
      </c>
      <c r="K454" s="3">
        <v>42.301399000000004</v>
      </c>
      <c r="L454" s="3">
        <v>69.585116999999997</v>
      </c>
      <c r="M454" s="1" t="s">
        <v>1670</v>
      </c>
      <c r="N454" s="1" t="s">
        <v>1671</v>
      </c>
      <c r="O454" s="1" t="s">
        <v>1610</v>
      </c>
      <c r="P454" s="1" t="s">
        <v>59</v>
      </c>
      <c r="Q454" s="1" t="s">
        <v>61</v>
      </c>
      <c r="R454" s="1" t="s">
        <v>60</v>
      </c>
      <c r="S454" s="1" t="s">
        <v>1132</v>
      </c>
    </row>
    <row r="455" spans="1:19" ht="45.6">
      <c r="A455" s="1" t="s">
        <v>1672</v>
      </c>
      <c r="B455" s="1" t="s">
        <v>1673</v>
      </c>
      <c r="C455" s="1" t="s">
        <v>1673</v>
      </c>
      <c r="D455" s="1" t="s">
        <v>55</v>
      </c>
      <c r="E455" s="1" t="s">
        <v>28</v>
      </c>
      <c r="F455" s="1" t="s">
        <v>1674</v>
      </c>
      <c r="G455" s="1"/>
      <c r="H455" s="1" t="s">
        <v>1675</v>
      </c>
      <c r="I455" s="1"/>
      <c r="J455" s="2">
        <v>1</v>
      </c>
      <c r="K455" s="3">
        <v>42.326070000000001</v>
      </c>
      <c r="L455" s="3">
        <v>69.577943000000005</v>
      </c>
      <c r="M455" s="1" t="s">
        <v>1676</v>
      </c>
      <c r="N455" s="1" t="s">
        <v>1620</v>
      </c>
      <c r="O455" s="1" t="s">
        <v>1621</v>
      </c>
      <c r="P455" s="1" t="s">
        <v>59</v>
      </c>
      <c r="Q455" s="1" t="s">
        <v>61</v>
      </c>
      <c r="R455" s="1" t="s">
        <v>60</v>
      </c>
      <c r="S455" s="1" t="s">
        <v>1132</v>
      </c>
    </row>
    <row r="456" spans="1:19" ht="57">
      <c r="A456" s="1" t="s">
        <v>1677</v>
      </c>
      <c r="B456" s="1" t="s">
        <v>1678</v>
      </c>
      <c r="C456" s="1" t="s">
        <v>1678</v>
      </c>
      <c r="D456" s="1" t="s">
        <v>55</v>
      </c>
      <c r="E456" s="1" t="s">
        <v>28</v>
      </c>
      <c r="F456" s="1" t="s">
        <v>1679</v>
      </c>
      <c r="G456" s="1"/>
      <c r="H456" s="1"/>
      <c r="I456" s="1"/>
      <c r="J456" s="2">
        <v>1</v>
      </c>
      <c r="K456" s="3">
        <v>42.319850000000002</v>
      </c>
      <c r="L456" s="3">
        <v>69.516176999999999</v>
      </c>
      <c r="M456" s="1" t="s">
        <v>1680</v>
      </c>
      <c r="N456" s="1" t="s">
        <v>1681</v>
      </c>
      <c r="O456" s="1" t="s">
        <v>1610</v>
      </c>
      <c r="P456" s="1" t="s">
        <v>59</v>
      </c>
      <c r="Q456" s="1" t="s">
        <v>61</v>
      </c>
      <c r="R456" s="1" t="s">
        <v>60</v>
      </c>
      <c r="S456" s="1" t="s">
        <v>1132</v>
      </c>
    </row>
    <row r="457" spans="1:19" ht="57">
      <c r="A457" s="1" t="s">
        <v>1682</v>
      </c>
      <c r="B457" s="1" t="s">
        <v>1683</v>
      </c>
      <c r="C457" s="1" t="s">
        <v>1683</v>
      </c>
      <c r="D457" s="1" t="s">
        <v>55</v>
      </c>
      <c r="E457" s="1" t="s">
        <v>28</v>
      </c>
      <c r="F457" s="1" t="s">
        <v>1684</v>
      </c>
      <c r="G457" s="1"/>
      <c r="H457" s="1"/>
      <c r="I457" s="1"/>
      <c r="J457" s="2">
        <v>1</v>
      </c>
      <c r="K457" s="3">
        <v>42.331178000000001</v>
      </c>
      <c r="L457" s="3">
        <v>69.639778000000007</v>
      </c>
      <c r="M457" s="1" t="s">
        <v>1685</v>
      </c>
      <c r="N457" s="1" t="s">
        <v>1686</v>
      </c>
      <c r="O457" s="1" t="s">
        <v>1687</v>
      </c>
      <c r="P457" s="1" t="s">
        <v>59</v>
      </c>
      <c r="Q457" s="1" t="s">
        <v>61</v>
      </c>
      <c r="R457" s="1" t="s">
        <v>60</v>
      </c>
      <c r="S457" s="1" t="s">
        <v>1132</v>
      </c>
    </row>
    <row r="458" spans="1:19" ht="45.6">
      <c r="A458" s="1" t="s">
        <v>1688</v>
      </c>
      <c r="B458" s="1" t="s">
        <v>1689</v>
      </c>
      <c r="C458" s="1" t="s">
        <v>1689</v>
      </c>
      <c r="D458" s="1" t="s">
        <v>55</v>
      </c>
      <c r="E458" s="1" t="s">
        <v>28</v>
      </c>
      <c r="F458" s="1"/>
      <c r="G458" s="1"/>
      <c r="H458" s="1"/>
      <c r="I458" s="1"/>
      <c r="J458" s="2">
        <v>1</v>
      </c>
      <c r="K458" s="3">
        <v>42.304628999999998</v>
      </c>
      <c r="L458" s="3">
        <v>69.574404000000001</v>
      </c>
      <c r="M458" s="1" t="s">
        <v>1690</v>
      </c>
      <c r="N458" s="1" t="s">
        <v>1658</v>
      </c>
      <c r="O458" s="1" t="s">
        <v>1621</v>
      </c>
      <c r="P458" s="1" t="s">
        <v>59</v>
      </c>
      <c r="Q458" s="1" t="s">
        <v>61</v>
      </c>
      <c r="R458" s="1" t="s">
        <v>60</v>
      </c>
      <c r="S458" s="1" t="s">
        <v>1132</v>
      </c>
    </row>
    <row r="459" spans="1:19" ht="57">
      <c r="A459" s="1" t="s">
        <v>1691</v>
      </c>
      <c r="B459" s="1" t="s">
        <v>1692</v>
      </c>
      <c r="C459" s="1" t="s">
        <v>1692</v>
      </c>
      <c r="D459" s="1" t="s">
        <v>55</v>
      </c>
      <c r="E459" s="1" t="s">
        <v>28</v>
      </c>
      <c r="F459" s="1" t="s">
        <v>1693</v>
      </c>
      <c r="G459" s="1"/>
      <c r="H459" s="1" t="s">
        <v>1694</v>
      </c>
      <c r="I459" s="1"/>
      <c r="J459" s="2">
        <v>1</v>
      </c>
      <c r="K459" s="3">
        <v>42.308754999999998</v>
      </c>
      <c r="L459" s="3">
        <v>69.566795999999997</v>
      </c>
      <c r="M459" s="1" t="s">
        <v>1695</v>
      </c>
      <c r="N459" s="1" t="s">
        <v>1696</v>
      </c>
      <c r="O459" s="1" t="s">
        <v>1610</v>
      </c>
      <c r="P459" s="1" t="s">
        <v>59</v>
      </c>
      <c r="Q459" s="1" t="s">
        <v>61</v>
      </c>
      <c r="R459" s="1" t="s">
        <v>60</v>
      </c>
      <c r="S459" s="1" t="s">
        <v>1132</v>
      </c>
    </row>
    <row r="460" spans="1:19" ht="45.6">
      <c r="A460" s="1" t="s">
        <v>1697</v>
      </c>
      <c r="B460" s="1" t="s">
        <v>1698</v>
      </c>
      <c r="C460" s="1" t="s">
        <v>1698</v>
      </c>
      <c r="D460" s="1" t="s">
        <v>55</v>
      </c>
      <c r="E460" s="1" t="s">
        <v>28</v>
      </c>
      <c r="F460" s="1" t="s">
        <v>1699</v>
      </c>
      <c r="G460" s="1"/>
      <c r="H460" s="1"/>
      <c r="I460" s="1"/>
      <c r="J460" s="2">
        <v>1</v>
      </c>
      <c r="K460" s="3">
        <v>42.311464999999998</v>
      </c>
      <c r="L460" s="3">
        <v>69.605609999999999</v>
      </c>
      <c r="M460" s="1" t="s">
        <v>1700</v>
      </c>
      <c r="N460" s="1" t="s">
        <v>1658</v>
      </c>
      <c r="O460" s="1" t="s">
        <v>1621</v>
      </c>
      <c r="P460" s="1" t="s">
        <v>59</v>
      </c>
      <c r="Q460" s="1" t="s">
        <v>61</v>
      </c>
      <c r="R460" s="1" t="s">
        <v>60</v>
      </c>
      <c r="S460" s="1" t="s">
        <v>1132</v>
      </c>
    </row>
    <row r="461" spans="1:19" ht="57">
      <c r="A461" s="1" t="s">
        <v>1701</v>
      </c>
      <c r="B461" s="1" t="s">
        <v>1702</v>
      </c>
      <c r="C461" s="1" t="s">
        <v>1702</v>
      </c>
      <c r="D461" s="1" t="s">
        <v>55</v>
      </c>
      <c r="E461" s="1" t="s">
        <v>28</v>
      </c>
      <c r="F461" s="1" t="s">
        <v>1703</v>
      </c>
      <c r="G461" s="1"/>
      <c r="H461" s="1"/>
      <c r="I461" s="1"/>
      <c r="J461" s="2">
        <v>1</v>
      </c>
      <c r="K461" s="3">
        <v>42.298245999999999</v>
      </c>
      <c r="L461" s="3">
        <v>69.758938999999998</v>
      </c>
      <c r="M461" s="1" t="s">
        <v>1704</v>
      </c>
      <c r="N461" s="1" t="s">
        <v>1705</v>
      </c>
      <c r="O461" s="1" t="s">
        <v>1610</v>
      </c>
      <c r="P461" s="1" t="s">
        <v>59</v>
      </c>
      <c r="Q461" s="1" t="s">
        <v>61</v>
      </c>
      <c r="R461" s="1" t="s">
        <v>60</v>
      </c>
      <c r="S461" s="1" t="s">
        <v>1132</v>
      </c>
    </row>
    <row r="462" spans="1:19" ht="22.8">
      <c r="A462" s="1" t="s">
        <v>1706</v>
      </c>
      <c r="B462" s="1" t="s">
        <v>1707</v>
      </c>
      <c r="C462" s="1" t="s">
        <v>1707</v>
      </c>
      <c r="D462" s="1" t="s">
        <v>55</v>
      </c>
      <c r="E462" s="1" t="s">
        <v>28</v>
      </c>
      <c r="F462" s="1"/>
      <c r="G462" s="1"/>
      <c r="H462" s="1"/>
      <c r="I462" s="1"/>
      <c r="J462" s="2"/>
      <c r="K462" s="3">
        <v>42.374043299999997</v>
      </c>
      <c r="L462" s="3">
        <v>69.5026242</v>
      </c>
      <c r="M462" s="1" t="s">
        <v>1708</v>
      </c>
      <c r="N462" s="1"/>
      <c r="O462" s="1" t="s">
        <v>58</v>
      </c>
      <c r="P462" s="1" t="s">
        <v>59</v>
      </c>
      <c r="Q462" s="1" t="s">
        <v>60</v>
      </c>
      <c r="R462" s="1" t="s">
        <v>60</v>
      </c>
      <c r="S462" s="1" t="s">
        <v>66</v>
      </c>
    </row>
    <row r="463" spans="1:19" ht="22.8">
      <c r="A463" s="1" t="s">
        <v>1709</v>
      </c>
      <c r="B463" s="1" t="s">
        <v>1710</v>
      </c>
      <c r="C463" s="1" t="s">
        <v>1710</v>
      </c>
      <c r="D463" s="1" t="s">
        <v>55</v>
      </c>
      <c r="E463" s="1" t="s">
        <v>28</v>
      </c>
      <c r="F463" s="1" t="s">
        <v>1711</v>
      </c>
      <c r="G463" s="1"/>
      <c r="H463" s="1" t="s">
        <v>1712</v>
      </c>
      <c r="I463" s="1"/>
      <c r="J463" s="2">
        <v>1</v>
      </c>
      <c r="K463" s="3">
        <v>42.367877</v>
      </c>
      <c r="L463" s="3">
        <v>69.531107000000006</v>
      </c>
      <c r="M463" s="1" t="s">
        <v>1713</v>
      </c>
      <c r="N463" s="1"/>
      <c r="O463" s="1" t="s">
        <v>1051</v>
      </c>
      <c r="P463" s="1" t="s">
        <v>59</v>
      </c>
      <c r="Q463" s="1" t="s">
        <v>61</v>
      </c>
      <c r="R463" s="1" t="s">
        <v>60</v>
      </c>
      <c r="S463" s="1" t="s">
        <v>1052</v>
      </c>
    </row>
    <row r="464" spans="1:19" ht="22.8">
      <c r="A464" s="1" t="s">
        <v>1714</v>
      </c>
      <c r="B464" s="1" t="s">
        <v>1715</v>
      </c>
      <c r="C464" s="1" t="s">
        <v>1715</v>
      </c>
      <c r="D464" s="1" t="s">
        <v>55</v>
      </c>
      <c r="E464" s="1" t="s">
        <v>28</v>
      </c>
      <c r="F464" s="1"/>
      <c r="G464" s="1"/>
      <c r="H464" s="1"/>
      <c r="I464" s="1"/>
      <c r="J464" s="2"/>
      <c r="K464" s="3">
        <v>42.2453912</v>
      </c>
      <c r="L464" s="3">
        <v>69.543249799999998</v>
      </c>
      <c r="M464" s="1" t="s">
        <v>1716</v>
      </c>
      <c r="N464" s="1"/>
      <c r="O464" s="1" t="s">
        <v>58</v>
      </c>
      <c r="P464" s="1" t="s">
        <v>59</v>
      </c>
      <c r="Q464" s="1" t="s">
        <v>60</v>
      </c>
      <c r="R464" s="1" t="s">
        <v>60</v>
      </c>
      <c r="S464" s="1" t="s">
        <v>66</v>
      </c>
    </row>
    <row r="465" spans="1:19" ht="57">
      <c r="A465" s="1" t="s">
        <v>1717</v>
      </c>
      <c r="B465" s="1" t="s">
        <v>1718</v>
      </c>
      <c r="C465" s="1" t="s">
        <v>1718</v>
      </c>
      <c r="D465" s="1" t="s">
        <v>55</v>
      </c>
      <c r="E465" s="1" t="s">
        <v>28</v>
      </c>
      <c r="F465" s="1" t="s">
        <v>1719</v>
      </c>
      <c r="G465" s="1"/>
      <c r="H465" s="1"/>
      <c r="I465" s="1"/>
      <c r="J465" s="2">
        <v>1</v>
      </c>
      <c r="K465" s="3">
        <v>42.350597</v>
      </c>
      <c r="L465" s="3">
        <v>69.570915999999997</v>
      </c>
      <c r="M465" s="1" t="s">
        <v>1720</v>
      </c>
      <c r="N465" s="1" t="s">
        <v>1721</v>
      </c>
      <c r="O465" s="1" t="s">
        <v>1610</v>
      </c>
      <c r="P465" s="1" t="s">
        <v>59</v>
      </c>
      <c r="Q465" s="1" t="s">
        <v>61</v>
      </c>
      <c r="R465" s="1" t="s">
        <v>60</v>
      </c>
      <c r="S465" s="1" t="s">
        <v>1132</v>
      </c>
    </row>
    <row r="466" spans="1:19" ht="22.8">
      <c r="A466" s="1" t="s">
        <v>1722</v>
      </c>
      <c r="B466" s="1" t="s">
        <v>1723</v>
      </c>
      <c r="C466" s="1" t="s">
        <v>1723</v>
      </c>
      <c r="D466" s="1" t="s">
        <v>55</v>
      </c>
      <c r="E466" s="1" t="s">
        <v>28</v>
      </c>
      <c r="F466" s="1" t="s">
        <v>1724</v>
      </c>
      <c r="G466" s="1"/>
      <c r="H466" s="1" t="s">
        <v>1725</v>
      </c>
      <c r="I466" s="1"/>
      <c r="J466" s="2">
        <v>1</v>
      </c>
      <c r="K466" s="3">
        <v>42.362966</v>
      </c>
      <c r="L466" s="3">
        <v>69.722241999999994</v>
      </c>
      <c r="M466" s="1" t="s">
        <v>1726</v>
      </c>
      <c r="N466" s="1"/>
      <c r="O466" s="1" t="s">
        <v>1051</v>
      </c>
      <c r="P466" s="1" t="s">
        <v>59</v>
      </c>
      <c r="Q466" s="1" t="s">
        <v>61</v>
      </c>
      <c r="R466" s="1" t="s">
        <v>60</v>
      </c>
      <c r="S466" s="1" t="s">
        <v>1052</v>
      </c>
    </row>
    <row r="467" spans="1:19" ht="57">
      <c r="A467" s="1" t="s">
        <v>1727</v>
      </c>
      <c r="B467" s="1" t="s">
        <v>1728</v>
      </c>
      <c r="C467" s="1" t="s">
        <v>1728</v>
      </c>
      <c r="D467" s="1" t="s">
        <v>55</v>
      </c>
      <c r="E467" s="1" t="s">
        <v>28</v>
      </c>
      <c r="F467" s="1" t="s">
        <v>1729</v>
      </c>
      <c r="G467" s="1"/>
      <c r="H467" s="1" t="s">
        <v>1730</v>
      </c>
      <c r="I467" s="1"/>
      <c r="J467" s="2">
        <v>1</v>
      </c>
      <c r="K467" s="3">
        <v>42.310561999999997</v>
      </c>
      <c r="L467" s="3">
        <v>69.604427999999999</v>
      </c>
      <c r="M467" s="1" t="s">
        <v>1731</v>
      </c>
      <c r="N467" s="1" t="s">
        <v>1732</v>
      </c>
      <c r="O467" s="1" t="s">
        <v>1610</v>
      </c>
      <c r="P467" s="1" t="s">
        <v>59</v>
      </c>
      <c r="Q467" s="1" t="s">
        <v>61</v>
      </c>
      <c r="R467" s="1" t="s">
        <v>60</v>
      </c>
      <c r="S467" s="1" t="s">
        <v>1132</v>
      </c>
    </row>
    <row r="468" spans="1:19" ht="22.8">
      <c r="A468" s="1" t="s">
        <v>1733</v>
      </c>
      <c r="B468" s="1" t="s">
        <v>1734</v>
      </c>
      <c r="C468" s="1" t="s">
        <v>1734</v>
      </c>
      <c r="D468" s="1" t="s">
        <v>55</v>
      </c>
      <c r="E468" s="1" t="s">
        <v>28</v>
      </c>
      <c r="F468" s="1" t="s">
        <v>1735</v>
      </c>
      <c r="G468" s="1"/>
      <c r="H468" s="1" t="s">
        <v>1736</v>
      </c>
      <c r="I468" s="1"/>
      <c r="J468" s="2">
        <v>1</v>
      </c>
      <c r="K468" s="3">
        <v>42.412058999999999</v>
      </c>
      <c r="L468" s="3">
        <v>69.672437000000002</v>
      </c>
      <c r="M468" s="1" t="s">
        <v>1737</v>
      </c>
      <c r="N468" s="1"/>
      <c r="O468" s="1" t="s">
        <v>1051</v>
      </c>
      <c r="P468" s="1" t="s">
        <v>59</v>
      </c>
      <c r="Q468" s="1" t="s">
        <v>61</v>
      </c>
      <c r="R468" s="1" t="s">
        <v>60</v>
      </c>
      <c r="S468" s="1" t="s">
        <v>1052</v>
      </c>
    </row>
    <row r="469" spans="1:19" ht="22.8">
      <c r="A469" s="1" t="s">
        <v>1738</v>
      </c>
      <c r="B469" s="1" t="s">
        <v>1739</v>
      </c>
      <c r="C469" s="1" t="s">
        <v>1739</v>
      </c>
      <c r="D469" s="1" t="s">
        <v>55</v>
      </c>
      <c r="E469" s="1" t="s">
        <v>24</v>
      </c>
      <c r="F469" s="1" t="s">
        <v>1740</v>
      </c>
      <c r="G469" s="1"/>
      <c r="H469" s="1"/>
      <c r="I469" s="1"/>
      <c r="J469" s="2"/>
      <c r="K469" s="3">
        <v>42.381840500000003</v>
      </c>
      <c r="L469" s="3">
        <v>69.491689199999996</v>
      </c>
      <c r="M469" s="1" t="s">
        <v>1741</v>
      </c>
      <c r="N469" s="1"/>
      <c r="O469" s="1" t="s">
        <v>58</v>
      </c>
      <c r="P469" s="1" t="s">
        <v>59</v>
      </c>
      <c r="Q469" s="1" t="s">
        <v>60</v>
      </c>
      <c r="R469" s="1" t="s">
        <v>60</v>
      </c>
      <c r="S469" s="1" t="s">
        <v>62</v>
      </c>
    </row>
    <row r="470" spans="1:19" ht="22.8">
      <c r="A470" s="1" t="s">
        <v>1742</v>
      </c>
      <c r="B470" s="1" t="s">
        <v>1743</v>
      </c>
      <c r="C470" s="1" t="s">
        <v>1743</v>
      </c>
      <c r="D470" s="1" t="s">
        <v>55</v>
      </c>
      <c r="E470" s="1" t="s">
        <v>24</v>
      </c>
      <c r="F470" s="1"/>
      <c r="G470" s="1"/>
      <c r="H470" s="1"/>
      <c r="I470" s="1"/>
      <c r="J470" s="2"/>
      <c r="K470" s="3">
        <v>42.341518700000002</v>
      </c>
      <c r="L470" s="3">
        <v>69.672705199999996</v>
      </c>
      <c r="M470" s="1" t="s">
        <v>1744</v>
      </c>
      <c r="N470" s="1"/>
      <c r="O470" s="1" t="s">
        <v>58</v>
      </c>
      <c r="P470" s="1" t="s">
        <v>59</v>
      </c>
      <c r="Q470" s="1" t="s">
        <v>60</v>
      </c>
      <c r="R470" s="1" t="s">
        <v>60</v>
      </c>
      <c r="S470" s="1" t="s">
        <v>66</v>
      </c>
    </row>
    <row r="471" spans="1:19" ht="22.8">
      <c r="A471" s="1" t="s">
        <v>1745</v>
      </c>
      <c r="B471" s="1" t="s">
        <v>1746</v>
      </c>
      <c r="C471" s="1" t="s">
        <v>1746</v>
      </c>
      <c r="D471" s="1" t="s">
        <v>55</v>
      </c>
      <c r="E471" s="1" t="s">
        <v>24</v>
      </c>
      <c r="F471" s="1"/>
      <c r="G471" s="1"/>
      <c r="H471" s="1"/>
      <c r="I471" s="1"/>
      <c r="J471" s="2"/>
      <c r="K471" s="3">
        <v>42.313983999999998</v>
      </c>
      <c r="L471" s="3">
        <v>69.553906999999995</v>
      </c>
      <c r="M471" s="1" t="s">
        <v>1747</v>
      </c>
      <c r="N471" s="1"/>
      <c r="O471" s="1" t="s">
        <v>58</v>
      </c>
      <c r="P471" s="1" t="s">
        <v>59</v>
      </c>
      <c r="Q471" s="1" t="s">
        <v>60</v>
      </c>
      <c r="R471" s="1" t="s">
        <v>60</v>
      </c>
      <c r="S471" s="1" t="s">
        <v>66</v>
      </c>
    </row>
    <row r="472" spans="1:19" ht="22.8">
      <c r="A472" s="1" t="s">
        <v>1748</v>
      </c>
      <c r="B472" s="1" t="s">
        <v>1749</v>
      </c>
      <c r="C472" s="1" t="s">
        <v>1749</v>
      </c>
      <c r="D472" s="1" t="s">
        <v>55</v>
      </c>
      <c r="E472" s="1" t="s">
        <v>24</v>
      </c>
      <c r="F472" s="1"/>
      <c r="G472" s="1"/>
      <c r="H472" s="1"/>
      <c r="I472" s="1"/>
      <c r="J472" s="2"/>
      <c r="K472" s="3">
        <v>42.343586999999999</v>
      </c>
      <c r="L472" s="3">
        <v>69.540371399999998</v>
      </c>
      <c r="M472" s="1" t="s">
        <v>1750</v>
      </c>
      <c r="N472" s="1"/>
      <c r="O472" s="1" t="s">
        <v>58</v>
      </c>
      <c r="P472" s="1" t="s">
        <v>59</v>
      </c>
      <c r="Q472" s="1" t="s">
        <v>60</v>
      </c>
      <c r="R472" s="1" t="s">
        <v>60</v>
      </c>
      <c r="S472" s="1" t="s">
        <v>66</v>
      </c>
    </row>
    <row r="473" spans="1:19" ht="22.8">
      <c r="A473" s="1" t="s">
        <v>1751</v>
      </c>
      <c r="B473" s="1" t="s">
        <v>1752</v>
      </c>
      <c r="C473" s="1" t="s">
        <v>1752</v>
      </c>
      <c r="D473" s="1" t="s">
        <v>55</v>
      </c>
      <c r="E473" s="1" t="s">
        <v>24</v>
      </c>
      <c r="F473" s="1"/>
      <c r="G473" s="1"/>
      <c r="H473" s="1"/>
      <c r="I473" s="1"/>
      <c r="J473" s="2"/>
      <c r="K473" s="3">
        <v>42.281187000000003</v>
      </c>
      <c r="L473" s="3">
        <v>69.558044499999994</v>
      </c>
      <c r="M473" s="1" t="s">
        <v>1753</v>
      </c>
      <c r="N473" s="1" t="s">
        <v>1754</v>
      </c>
      <c r="O473" s="1" t="s">
        <v>58</v>
      </c>
      <c r="P473" s="1" t="s">
        <v>59</v>
      </c>
      <c r="Q473" s="1" t="s">
        <v>60</v>
      </c>
      <c r="R473" s="1" t="s">
        <v>60</v>
      </c>
      <c r="S473" s="1" t="s">
        <v>66</v>
      </c>
    </row>
    <row r="474" spans="1:19" ht="22.8">
      <c r="A474" s="1" t="s">
        <v>1755</v>
      </c>
      <c r="B474" s="1" t="s">
        <v>175</v>
      </c>
      <c r="C474" s="1" t="s">
        <v>175</v>
      </c>
      <c r="D474" s="1" t="s">
        <v>175</v>
      </c>
      <c r="E474" s="1" t="s">
        <v>24</v>
      </c>
      <c r="F474" s="1"/>
      <c r="G474" s="1"/>
      <c r="H474" s="1"/>
      <c r="I474" s="1"/>
      <c r="J474" s="2"/>
      <c r="K474" s="3">
        <v>42.246670600000002</v>
      </c>
      <c r="L474" s="3">
        <v>69.776219299999994</v>
      </c>
      <c r="M474" s="1" t="s">
        <v>1756</v>
      </c>
      <c r="N474" s="1"/>
      <c r="O474" s="1" t="s">
        <v>58</v>
      </c>
      <c r="P474" s="1" t="s">
        <v>59</v>
      </c>
      <c r="Q474" s="1" t="s">
        <v>60</v>
      </c>
      <c r="R474" s="1" t="s">
        <v>60</v>
      </c>
      <c r="S474" s="1" t="s">
        <v>66</v>
      </c>
    </row>
    <row r="475" spans="1:19" ht="22.8">
      <c r="A475" s="1" t="s">
        <v>1757</v>
      </c>
      <c r="B475" s="1" t="s">
        <v>175</v>
      </c>
      <c r="C475" s="1" t="s">
        <v>175</v>
      </c>
      <c r="D475" s="1" t="s">
        <v>175</v>
      </c>
      <c r="E475" s="1" t="s">
        <v>24</v>
      </c>
      <c r="F475" s="1"/>
      <c r="G475" s="1"/>
      <c r="H475" s="1"/>
      <c r="I475" s="1"/>
      <c r="J475" s="2"/>
      <c r="K475" s="3">
        <v>42.3044194</v>
      </c>
      <c r="L475" s="3">
        <v>69.618960599999994</v>
      </c>
      <c r="M475" s="1" t="s">
        <v>1758</v>
      </c>
      <c r="N475" s="1"/>
      <c r="O475" s="1" t="s">
        <v>58</v>
      </c>
      <c r="P475" s="1" t="s">
        <v>59</v>
      </c>
      <c r="Q475" s="1" t="s">
        <v>60</v>
      </c>
      <c r="R475" s="1" t="s">
        <v>60</v>
      </c>
      <c r="S475" s="1" t="s">
        <v>66</v>
      </c>
    </row>
    <row r="476" spans="1:19" ht="22.8">
      <c r="A476" s="1" t="s">
        <v>1759</v>
      </c>
      <c r="B476" s="1" t="s">
        <v>1760</v>
      </c>
      <c r="C476" s="1" t="s">
        <v>1760</v>
      </c>
      <c r="D476" s="1" t="s">
        <v>1760</v>
      </c>
      <c r="E476" s="1" t="s">
        <v>24</v>
      </c>
      <c r="F476" s="1" t="s">
        <v>1761</v>
      </c>
      <c r="G476" s="1"/>
      <c r="H476" s="1" t="s">
        <v>1762</v>
      </c>
      <c r="I476" s="1"/>
      <c r="J476" s="2">
        <v>10</v>
      </c>
      <c r="K476" s="3">
        <v>42.337314999999997</v>
      </c>
      <c r="L476" s="3">
        <v>69.507721000000004</v>
      </c>
      <c r="M476" s="1" t="s">
        <v>1763</v>
      </c>
      <c r="N476" s="1" t="s">
        <v>1764</v>
      </c>
      <c r="O476" s="1" t="s">
        <v>1131</v>
      </c>
      <c r="P476" s="1" t="s">
        <v>59</v>
      </c>
      <c r="Q476" s="1" t="s">
        <v>61</v>
      </c>
      <c r="R476" s="1" t="s">
        <v>60</v>
      </c>
      <c r="S476" s="1" t="s">
        <v>1132</v>
      </c>
    </row>
    <row r="477" spans="1:19" ht="22.8">
      <c r="A477" s="1" t="s">
        <v>1765</v>
      </c>
      <c r="B477" s="1" t="s">
        <v>1760</v>
      </c>
      <c r="C477" s="1" t="s">
        <v>1760</v>
      </c>
      <c r="D477" s="1" t="s">
        <v>1760</v>
      </c>
      <c r="E477" s="1" t="s">
        <v>24</v>
      </c>
      <c r="F477" s="1" t="s">
        <v>1766</v>
      </c>
      <c r="G477" s="1"/>
      <c r="H477" s="1" t="s">
        <v>1762</v>
      </c>
      <c r="I477" s="1"/>
      <c r="J477" s="2">
        <v>10</v>
      </c>
      <c r="K477" s="3">
        <v>42.360528000000002</v>
      </c>
      <c r="L477" s="3">
        <v>69.538767000000007</v>
      </c>
      <c r="M477" s="1" t="s">
        <v>1767</v>
      </c>
      <c r="N477" s="1" t="s">
        <v>1768</v>
      </c>
      <c r="O477" s="1" t="s">
        <v>1131</v>
      </c>
      <c r="P477" s="1" t="s">
        <v>59</v>
      </c>
      <c r="Q477" s="1" t="s">
        <v>61</v>
      </c>
      <c r="R477" s="1" t="s">
        <v>60</v>
      </c>
      <c r="S477" s="1" t="s">
        <v>1132</v>
      </c>
    </row>
    <row r="478" spans="1:19" ht="34.200000000000003">
      <c r="A478" s="1" t="s">
        <v>1769</v>
      </c>
      <c r="B478" s="1" t="s">
        <v>1760</v>
      </c>
      <c r="C478" s="1" t="s">
        <v>1760</v>
      </c>
      <c r="D478" s="1" t="s">
        <v>1760</v>
      </c>
      <c r="E478" s="1" t="s">
        <v>24</v>
      </c>
      <c r="F478" s="1" t="s">
        <v>1770</v>
      </c>
      <c r="G478" s="1"/>
      <c r="H478" s="1" t="s">
        <v>1771</v>
      </c>
      <c r="I478" s="1"/>
      <c r="J478" s="2">
        <v>10</v>
      </c>
      <c r="K478" s="3">
        <v>42.382084999999996</v>
      </c>
      <c r="L478" s="3">
        <v>69.491758000000004</v>
      </c>
      <c r="M478" s="1" t="s">
        <v>1772</v>
      </c>
      <c r="N478" s="1" t="s">
        <v>1773</v>
      </c>
      <c r="O478" s="1" t="s">
        <v>1131</v>
      </c>
      <c r="P478" s="1" t="s">
        <v>59</v>
      </c>
      <c r="Q478" s="1" t="s">
        <v>61</v>
      </c>
      <c r="R478" s="1" t="s">
        <v>60</v>
      </c>
      <c r="S478" s="1" t="s">
        <v>1132</v>
      </c>
    </row>
    <row r="479" spans="1:19" ht="22.8">
      <c r="A479" s="1" t="s">
        <v>1774</v>
      </c>
      <c r="B479" s="1" t="s">
        <v>1775</v>
      </c>
      <c r="C479" s="1" t="s">
        <v>1775</v>
      </c>
      <c r="D479" s="1" t="s">
        <v>1775</v>
      </c>
      <c r="E479" s="1" t="s">
        <v>24</v>
      </c>
      <c r="F479" s="1"/>
      <c r="G479" s="1"/>
      <c r="H479" s="1"/>
      <c r="I479" s="1"/>
      <c r="J479" s="2"/>
      <c r="K479" s="3">
        <v>42.231521299999997</v>
      </c>
      <c r="L479" s="3">
        <v>69.800241400000004</v>
      </c>
      <c r="M479" s="1" t="s">
        <v>1776</v>
      </c>
      <c r="N479" s="1"/>
      <c r="O479" s="1" t="s">
        <v>58</v>
      </c>
      <c r="P479" s="1" t="s">
        <v>59</v>
      </c>
      <c r="Q479" s="1" t="s">
        <v>60</v>
      </c>
      <c r="R479" s="1" t="s">
        <v>60</v>
      </c>
      <c r="S479" s="1" t="s">
        <v>66</v>
      </c>
    </row>
    <row r="480" spans="1:19">
      <c r="A480" s="1" t="s">
        <v>1777</v>
      </c>
      <c r="B480" s="1" t="s">
        <v>1778</v>
      </c>
      <c r="C480" s="1" t="s">
        <v>1778</v>
      </c>
      <c r="D480" s="1" t="s">
        <v>1778</v>
      </c>
      <c r="E480" s="1" t="s">
        <v>24</v>
      </c>
      <c r="F480" s="1" t="s">
        <v>1779</v>
      </c>
      <c r="G480" s="1"/>
      <c r="H480" s="1"/>
      <c r="I480" s="1"/>
      <c r="J480" s="2">
        <v>3</v>
      </c>
      <c r="K480" s="3">
        <v>42.363581000000003</v>
      </c>
      <c r="L480" s="3">
        <v>69.519330999999994</v>
      </c>
      <c r="M480" s="1" t="s">
        <v>1780</v>
      </c>
      <c r="N480" s="1" t="s">
        <v>1781</v>
      </c>
      <c r="O480" s="1" t="s">
        <v>1131</v>
      </c>
      <c r="P480" s="1" t="s">
        <v>59</v>
      </c>
      <c r="Q480" s="1" t="s">
        <v>61</v>
      </c>
      <c r="R480" s="1" t="s">
        <v>60</v>
      </c>
      <c r="S480" s="1" t="s">
        <v>1132</v>
      </c>
    </row>
    <row r="481" spans="1:19" ht="22.8">
      <c r="A481" s="1" t="s">
        <v>1782</v>
      </c>
      <c r="B481" s="1" t="s">
        <v>1783</v>
      </c>
      <c r="C481" s="1" t="s">
        <v>1784</v>
      </c>
      <c r="D481" s="1" t="s">
        <v>1783</v>
      </c>
      <c r="E481" s="1" t="s">
        <v>24</v>
      </c>
      <c r="F481" s="1"/>
      <c r="G481" s="1"/>
      <c r="H481" s="1" t="s">
        <v>1785</v>
      </c>
      <c r="I481" s="1"/>
      <c r="J481" s="2"/>
      <c r="K481" s="3">
        <v>42.250700000000002</v>
      </c>
      <c r="L481" s="3">
        <v>69.542779999999993</v>
      </c>
      <c r="M481" s="1" t="s">
        <v>1786</v>
      </c>
      <c r="N481" s="1"/>
      <c r="O481" s="1" t="s">
        <v>58</v>
      </c>
      <c r="P481" s="1" t="s">
        <v>59</v>
      </c>
      <c r="Q481" s="1" t="s">
        <v>60</v>
      </c>
      <c r="R481" s="1" t="s">
        <v>60</v>
      </c>
      <c r="S481" s="1" t="s">
        <v>62</v>
      </c>
    </row>
    <row r="482" spans="1:19" ht="22.8">
      <c r="A482" s="1" t="s">
        <v>1787</v>
      </c>
      <c r="B482" s="1" t="s">
        <v>1783</v>
      </c>
      <c r="C482" s="1" t="s">
        <v>1784</v>
      </c>
      <c r="D482" s="1" t="s">
        <v>1783</v>
      </c>
      <c r="E482" s="1" t="s">
        <v>24</v>
      </c>
      <c r="F482" s="1"/>
      <c r="G482" s="1"/>
      <c r="H482" s="1" t="s">
        <v>1785</v>
      </c>
      <c r="I482" s="1"/>
      <c r="J482" s="2"/>
      <c r="K482" s="3">
        <v>42.26493</v>
      </c>
      <c r="L482" s="3">
        <v>69.700370000000007</v>
      </c>
      <c r="M482" s="1" t="s">
        <v>1788</v>
      </c>
      <c r="N482" s="1"/>
      <c r="O482" s="1" t="s">
        <v>58</v>
      </c>
      <c r="P482" s="1" t="s">
        <v>59</v>
      </c>
      <c r="Q482" s="1" t="s">
        <v>60</v>
      </c>
      <c r="R482" s="1" t="s">
        <v>60</v>
      </c>
      <c r="S482" s="1" t="s">
        <v>62</v>
      </c>
    </row>
    <row r="483" spans="1:19" ht="22.8">
      <c r="A483" s="1" t="s">
        <v>1789</v>
      </c>
      <c r="B483" s="1" t="s">
        <v>1784</v>
      </c>
      <c r="C483" s="1" t="s">
        <v>1784</v>
      </c>
      <c r="D483" s="1" t="s">
        <v>1784</v>
      </c>
      <c r="E483" s="1" t="s">
        <v>24</v>
      </c>
      <c r="F483" s="1" t="s">
        <v>1790</v>
      </c>
      <c r="G483" s="1"/>
      <c r="H483" s="1" t="s">
        <v>1791</v>
      </c>
      <c r="I483" s="1"/>
      <c r="J483" s="2">
        <v>13</v>
      </c>
      <c r="K483" s="3">
        <v>42.302005000000001</v>
      </c>
      <c r="L483" s="3">
        <v>69.582007000000004</v>
      </c>
      <c r="M483" s="1" t="s">
        <v>1792</v>
      </c>
      <c r="N483" s="1" t="s">
        <v>1793</v>
      </c>
      <c r="O483" s="1" t="s">
        <v>1131</v>
      </c>
      <c r="P483" s="1" t="s">
        <v>59</v>
      </c>
      <c r="Q483" s="1" t="s">
        <v>61</v>
      </c>
      <c r="R483" s="1" t="s">
        <v>60</v>
      </c>
      <c r="S483" s="1" t="s">
        <v>1132</v>
      </c>
    </row>
    <row r="484" spans="1:19" ht="22.8">
      <c r="A484" s="1" t="s">
        <v>1794</v>
      </c>
      <c r="B484" s="1" t="s">
        <v>1783</v>
      </c>
      <c r="C484" s="1" t="s">
        <v>1784</v>
      </c>
      <c r="D484" s="1" t="s">
        <v>1783</v>
      </c>
      <c r="E484" s="1" t="s">
        <v>24</v>
      </c>
      <c r="F484" s="1"/>
      <c r="G484" s="1"/>
      <c r="H484" s="1" t="s">
        <v>1785</v>
      </c>
      <c r="I484" s="1"/>
      <c r="J484" s="2"/>
      <c r="K484" s="3">
        <v>42.316580000000002</v>
      </c>
      <c r="L484" s="3">
        <v>69.522769999999994</v>
      </c>
      <c r="M484" s="1" t="s">
        <v>1795</v>
      </c>
      <c r="N484" s="1"/>
      <c r="O484" s="1" t="s">
        <v>58</v>
      </c>
      <c r="P484" s="1" t="s">
        <v>59</v>
      </c>
      <c r="Q484" s="1" t="s">
        <v>60</v>
      </c>
      <c r="R484" s="1" t="s">
        <v>60</v>
      </c>
      <c r="S484" s="1" t="s">
        <v>62</v>
      </c>
    </row>
    <row r="485" spans="1:19" ht="22.8">
      <c r="A485" s="1" t="s">
        <v>1796</v>
      </c>
      <c r="B485" s="1" t="s">
        <v>1784</v>
      </c>
      <c r="C485" s="1" t="s">
        <v>1784</v>
      </c>
      <c r="D485" s="1" t="s">
        <v>1784</v>
      </c>
      <c r="E485" s="1" t="s">
        <v>24</v>
      </c>
      <c r="F485" s="1" t="s">
        <v>1797</v>
      </c>
      <c r="G485" s="1"/>
      <c r="H485" s="1" t="s">
        <v>1798</v>
      </c>
      <c r="I485" s="1"/>
      <c r="J485" s="2">
        <v>13</v>
      </c>
      <c r="K485" s="3">
        <v>42.324674999999999</v>
      </c>
      <c r="L485" s="3">
        <v>69.513977999999994</v>
      </c>
      <c r="M485" s="1" t="s">
        <v>1799</v>
      </c>
      <c r="N485" s="1"/>
      <c r="O485" s="1" t="s">
        <v>1051</v>
      </c>
      <c r="P485" s="1" t="s">
        <v>59</v>
      </c>
      <c r="Q485" s="1" t="s">
        <v>61</v>
      </c>
      <c r="R485" s="1" t="s">
        <v>60</v>
      </c>
      <c r="S485" s="1" t="s">
        <v>1052</v>
      </c>
    </row>
    <row r="486" spans="1:19" ht="22.8">
      <c r="A486" s="1" t="s">
        <v>1800</v>
      </c>
      <c r="B486" s="1" t="s">
        <v>1784</v>
      </c>
      <c r="C486" s="1" t="s">
        <v>1784</v>
      </c>
      <c r="D486" s="1" t="s">
        <v>1784</v>
      </c>
      <c r="E486" s="1" t="s">
        <v>24</v>
      </c>
      <c r="F486" s="1" t="s">
        <v>1801</v>
      </c>
      <c r="G486" s="1"/>
      <c r="H486" s="1" t="s">
        <v>1791</v>
      </c>
      <c r="I486" s="1"/>
      <c r="J486" s="2">
        <v>13</v>
      </c>
      <c r="K486" s="3">
        <v>42.326290999999998</v>
      </c>
      <c r="L486" s="3">
        <v>69.574348000000001</v>
      </c>
      <c r="M486" s="1" t="s">
        <v>1802</v>
      </c>
      <c r="N486" s="1" t="s">
        <v>1803</v>
      </c>
      <c r="O486" s="1" t="s">
        <v>1131</v>
      </c>
      <c r="P486" s="1" t="s">
        <v>59</v>
      </c>
      <c r="Q486" s="1" t="s">
        <v>61</v>
      </c>
      <c r="R486" s="1" t="s">
        <v>60</v>
      </c>
      <c r="S486" s="1" t="s">
        <v>1132</v>
      </c>
    </row>
    <row r="487" spans="1:19" ht="22.8">
      <c r="A487" s="1" t="s">
        <v>1804</v>
      </c>
      <c r="B487" s="1" t="s">
        <v>1784</v>
      </c>
      <c r="C487" s="1" t="s">
        <v>1784</v>
      </c>
      <c r="D487" s="1" t="s">
        <v>1784</v>
      </c>
      <c r="E487" s="1" t="s">
        <v>24</v>
      </c>
      <c r="F487" s="1" t="s">
        <v>1805</v>
      </c>
      <c r="G487" s="1"/>
      <c r="H487" s="1" t="s">
        <v>1791</v>
      </c>
      <c r="I487" s="1"/>
      <c r="J487" s="2">
        <v>13</v>
      </c>
      <c r="K487" s="3">
        <v>42.328375000000001</v>
      </c>
      <c r="L487" s="3">
        <v>69.629461000000006</v>
      </c>
      <c r="M487" s="1" t="s">
        <v>1806</v>
      </c>
      <c r="N487" s="1" t="s">
        <v>1807</v>
      </c>
      <c r="O487" s="1" t="s">
        <v>1131</v>
      </c>
      <c r="P487" s="1" t="s">
        <v>59</v>
      </c>
      <c r="Q487" s="1" t="s">
        <v>61</v>
      </c>
      <c r="R487" s="1" t="s">
        <v>60</v>
      </c>
      <c r="S487" s="1" t="s">
        <v>1132</v>
      </c>
    </row>
    <row r="488" spans="1:19">
      <c r="A488" s="1" t="s">
        <v>1808</v>
      </c>
      <c r="B488" s="1" t="s">
        <v>1784</v>
      </c>
      <c r="C488" s="1" t="s">
        <v>1784</v>
      </c>
      <c r="D488" s="1" t="s">
        <v>1784</v>
      </c>
      <c r="E488" s="1" t="s">
        <v>24</v>
      </c>
      <c r="F488" s="1" t="s">
        <v>1809</v>
      </c>
      <c r="G488" s="1"/>
      <c r="H488" s="1" t="s">
        <v>1798</v>
      </c>
      <c r="I488" s="1"/>
      <c r="J488" s="2">
        <v>13</v>
      </c>
      <c r="K488" s="3">
        <v>42.343747999999998</v>
      </c>
      <c r="L488" s="3">
        <v>69.617310000000003</v>
      </c>
      <c r="M488" s="1" t="s">
        <v>1810</v>
      </c>
      <c r="N488" s="1" t="s">
        <v>1811</v>
      </c>
      <c r="O488" s="1" t="s">
        <v>1131</v>
      </c>
      <c r="P488" s="1" t="s">
        <v>59</v>
      </c>
      <c r="Q488" s="1" t="s">
        <v>61</v>
      </c>
      <c r="R488" s="1" t="s">
        <v>60</v>
      </c>
      <c r="S488" s="1" t="s">
        <v>1132</v>
      </c>
    </row>
    <row r="489" spans="1:19" ht="22.8">
      <c r="A489" s="1" t="s">
        <v>1812</v>
      </c>
      <c r="B489" s="1" t="s">
        <v>1784</v>
      </c>
      <c r="C489" s="1" t="s">
        <v>1784</v>
      </c>
      <c r="D489" s="1" t="s">
        <v>1784</v>
      </c>
      <c r="E489" s="1" t="s">
        <v>24</v>
      </c>
      <c r="F489" s="1"/>
      <c r="G489" s="1"/>
      <c r="H489" s="1"/>
      <c r="I489" s="1"/>
      <c r="J489" s="2"/>
      <c r="K489" s="3">
        <v>42.390854099999999</v>
      </c>
      <c r="L489" s="3">
        <v>69.467968299999995</v>
      </c>
      <c r="M489" s="1" t="s">
        <v>1813</v>
      </c>
      <c r="N489" s="1"/>
      <c r="O489" s="1" t="s">
        <v>58</v>
      </c>
      <c r="P489" s="1" t="s">
        <v>59</v>
      </c>
      <c r="Q489" s="1" t="s">
        <v>60</v>
      </c>
      <c r="R489" s="1" t="s">
        <v>60</v>
      </c>
      <c r="S489" s="1" t="s">
        <v>66</v>
      </c>
    </row>
    <row r="490" spans="1:19" ht="22.8">
      <c r="A490" s="1" t="s">
        <v>1814</v>
      </c>
      <c r="B490" s="1" t="s">
        <v>1784</v>
      </c>
      <c r="C490" s="1" t="s">
        <v>1784</v>
      </c>
      <c r="D490" s="1" t="s">
        <v>1784</v>
      </c>
      <c r="E490" s="1" t="s">
        <v>24</v>
      </c>
      <c r="F490" s="1" t="s">
        <v>1815</v>
      </c>
      <c r="G490" s="1"/>
      <c r="H490" s="1" t="s">
        <v>1791</v>
      </c>
      <c r="I490" s="1"/>
      <c r="J490" s="2">
        <v>13</v>
      </c>
      <c r="K490" s="3">
        <v>42.398843999999997</v>
      </c>
      <c r="L490" s="3">
        <v>69.568055000000001</v>
      </c>
      <c r="M490" s="1" t="s">
        <v>1816</v>
      </c>
      <c r="N490" s="1" t="s">
        <v>1817</v>
      </c>
      <c r="O490" s="1" t="s">
        <v>1131</v>
      </c>
      <c r="P490" s="1" t="s">
        <v>59</v>
      </c>
      <c r="Q490" s="1" t="s">
        <v>61</v>
      </c>
      <c r="R490" s="1" t="s">
        <v>60</v>
      </c>
      <c r="S490" s="1" t="s">
        <v>1132</v>
      </c>
    </row>
    <row r="491" spans="1:19" ht="22.8">
      <c r="A491" s="1" t="s">
        <v>1818</v>
      </c>
      <c r="B491" s="1" t="s">
        <v>1783</v>
      </c>
      <c r="C491" s="1" t="s">
        <v>1784</v>
      </c>
      <c r="D491" s="1" t="s">
        <v>1783</v>
      </c>
      <c r="E491" s="1" t="s">
        <v>24</v>
      </c>
      <c r="F491" s="1"/>
      <c r="G491" s="1"/>
      <c r="H491" s="1" t="s">
        <v>1785</v>
      </c>
      <c r="I491" s="1"/>
      <c r="J491" s="2"/>
      <c r="K491" s="3">
        <v>42.449375600000003</v>
      </c>
      <c r="L491" s="3">
        <v>69.644576799999996</v>
      </c>
      <c r="M491" s="1" t="s">
        <v>1819</v>
      </c>
      <c r="N491" s="1" t="s">
        <v>1820</v>
      </c>
      <c r="O491" s="1" t="s">
        <v>58</v>
      </c>
      <c r="P491" s="1" t="s">
        <v>59</v>
      </c>
      <c r="Q491" s="1" t="s">
        <v>60</v>
      </c>
      <c r="R491" s="1" t="s">
        <v>60</v>
      </c>
      <c r="S491" s="1" t="s">
        <v>62</v>
      </c>
    </row>
    <row r="492" spans="1:19" ht="22.8">
      <c r="A492" s="1" t="s">
        <v>1821</v>
      </c>
      <c r="B492" s="1" t="s">
        <v>1822</v>
      </c>
      <c r="C492" s="1" t="s">
        <v>1822</v>
      </c>
      <c r="D492" s="1" t="s">
        <v>55</v>
      </c>
      <c r="E492" s="1" t="s">
        <v>24</v>
      </c>
      <c r="F492" s="1"/>
      <c r="G492" s="1"/>
      <c r="H492" s="1"/>
      <c r="I492" s="1"/>
      <c r="J492" s="2"/>
      <c r="K492" s="3">
        <v>42.2181766</v>
      </c>
      <c r="L492" s="3">
        <v>69.529127000000003</v>
      </c>
      <c r="M492" s="1" t="s">
        <v>1823</v>
      </c>
      <c r="N492" s="1"/>
      <c r="O492" s="1" t="s">
        <v>58</v>
      </c>
      <c r="P492" s="1" t="s">
        <v>59</v>
      </c>
      <c r="Q492" s="1" t="s">
        <v>60</v>
      </c>
      <c r="R492" s="1" t="s">
        <v>60</v>
      </c>
      <c r="S492" s="1" t="s">
        <v>66</v>
      </c>
    </row>
    <row r="493" spans="1:19" ht="22.8">
      <c r="A493" s="1" t="s">
        <v>1824</v>
      </c>
      <c r="B493" s="1" t="s">
        <v>1825</v>
      </c>
      <c r="C493" s="1" t="s">
        <v>1825</v>
      </c>
      <c r="D493" s="1" t="s">
        <v>55</v>
      </c>
      <c r="E493" s="1" t="s">
        <v>24</v>
      </c>
      <c r="F493" s="1" t="s">
        <v>1826</v>
      </c>
      <c r="G493" s="1"/>
      <c r="H493" s="1"/>
      <c r="I493" s="1"/>
      <c r="J493" s="2"/>
      <c r="K493" s="3">
        <v>42.420437</v>
      </c>
      <c r="L493" s="3">
        <v>69.637358000000006</v>
      </c>
      <c r="M493" s="1" t="s">
        <v>1827</v>
      </c>
      <c r="N493" s="1"/>
      <c r="O493" s="1" t="s">
        <v>58</v>
      </c>
      <c r="P493" s="1" t="s">
        <v>59</v>
      </c>
      <c r="Q493" s="1" t="s">
        <v>60</v>
      </c>
      <c r="R493" s="1" t="s">
        <v>60</v>
      </c>
      <c r="S493" s="1" t="s">
        <v>62</v>
      </c>
    </row>
    <row r="494" spans="1:19" ht="22.8">
      <c r="A494" s="1" t="s">
        <v>1828</v>
      </c>
      <c r="B494" s="1" t="s">
        <v>1829</v>
      </c>
      <c r="C494" s="1" t="s">
        <v>1829</v>
      </c>
      <c r="D494" s="1" t="s">
        <v>55</v>
      </c>
      <c r="E494" s="1" t="s">
        <v>24</v>
      </c>
      <c r="F494" s="1" t="s">
        <v>1830</v>
      </c>
      <c r="G494" s="1"/>
      <c r="H494" s="1"/>
      <c r="I494" s="1"/>
      <c r="J494" s="2"/>
      <c r="K494" s="3">
        <v>42.364944100000002</v>
      </c>
      <c r="L494" s="3">
        <v>69.736087900000001</v>
      </c>
      <c r="M494" s="1" t="s">
        <v>1831</v>
      </c>
      <c r="N494" s="1"/>
      <c r="O494" s="1" t="s">
        <v>58</v>
      </c>
      <c r="P494" s="1" t="s">
        <v>59</v>
      </c>
      <c r="Q494" s="1" t="s">
        <v>60</v>
      </c>
      <c r="R494" s="1" t="s">
        <v>60</v>
      </c>
      <c r="S494" s="1" t="s">
        <v>62</v>
      </c>
    </row>
    <row r="495" spans="1:19" ht="22.8">
      <c r="A495" s="1" t="s">
        <v>1832</v>
      </c>
      <c r="B495" s="1" t="s">
        <v>1833</v>
      </c>
      <c r="C495" s="1" t="s">
        <v>1833</v>
      </c>
      <c r="D495" s="1" t="s">
        <v>55</v>
      </c>
      <c r="E495" s="1" t="s">
        <v>24</v>
      </c>
      <c r="F495" s="1"/>
      <c r="G495" s="1"/>
      <c r="H495" s="1"/>
      <c r="I495" s="1"/>
      <c r="J495" s="2"/>
      <c r="K495" s="3">
        <v>42.278748999999998</v>
      </c>
      <c r="L495" s="3">
        <v>69.591956600000003</v>
      </c>
      <c r="M495" s="1" t="s">
        <v>1834</v>
      </c>
      <c r="N495" s="1"/>
      <c r="O495" s="1" t="s">
        <v>58</v>
      </c>
      <c r="P495" s="1" t="s">
        <v>59</v>
      </c>
      <c r="Q495" s="1" t="s">
        <v>60</v>
      </c>
      <c r="R495" s="1" t="s">
        <v>60</v>
      </c>
      <c r="S495" s="1" t="s">
        <v>66</v>
      </c>
    </row>
    <row r="496" spans="1:19" ht="22.8">
      <c r="A496" s="1" t="s">
        <v>1835</v>
      </c>
      <c r="B496" s="1" t="s">
        <v>1836</v>
      </c>
      <c r="C496" s="1" t="s">
        <v>1836</v>
      </c>
      <c r="D496" s="1" t="s">
        <v>55</v>
      </c>
      <c r="E496" s="1" t="s">
        <v>24</v>
      </c>
      <c r="F496" s="1"/>
      <c r="G496" s="1"/>
      <c r="H496" s="1"/>
      <c r="I496" s="1"/>
      <c r="J496" s="2"/>
      <c r="K496" s="3">
        <v>42.245153899999998</v>
      </c>
      <c r="L496" s="3">
        <v>69.540369999999996</v>
      </c>
      <c r="M496" s="1" t="s">
        <v>1837</v>
      </c>
      <c r="N496" s="1" t="s">
        <v>1838</v>
      </c>
      <c r="O496" s="1" t="s">
        <v>58</v>
      </c>
      <c r="P496" s="1" t="s">
        <v>59</v>
      </c>
      <c r="Q496" s="1" t="s">
        <v>60</v>
      </c>
      <c r="R496" s="1" t="s">
        <v>60</v>
      </c>
      <c r="S496" s="1" t="s">
        <v>66</v>
      </c>
    </row>
    <row r="497" spans="1:19" ht="22.8">
      <c r="A497" s="1" t="s">
        <v>1839</v>
      </c>
      <c r="B497" s="1" t="s">
        <v>1840</v>
      </c>
      <c r="C497" s="1" t="s">
        <v>1840</v>
      </c>
      <c r="D497" s="1" t="s">
        <v>55</v>
      </c>
      <c r="E497" s="1" t="s">
        <v>24</v>
      </c>
      <c r="F497" s="1"/>
      <c r="G497" s="1"/>
      <c r="H497" s="1"/>
      <c r="I497" s="1"/>
      <c r="J497" s="2"/>
      <c r="K497" s="3">
        <v>42.193003900000001</v>
      </c>
      <c r="L497" s="3">
        <v>69.8188885</v>
      </c>
      <c r="M497" s="1" t="s">
        <v>1841</v>
      </c>
      <c r="N497" s="1" t="s">
        <v>1842</v>
      </c>
      <c r="O497" s="1" t="s">
        <v>58</v>
      </c>
      <c r="P497" s="1" t="s">
        <v>59</v>
      </c>
      <c r="Q497" s="1" t="s">
        <v>60</v>
      </c>
      <c r="R497" s="1" t="s">
        <v>60</v>
      </c>
      <c r="S497" s="1" t="s">
        <v>66</v>
      </c>
    </row>
    <row r="498" spans="1:19" ht="22.8">
      <c r="A498" s="1" t="s">
        <v>1843</v>
      </c>
      <c r="B498" s="1" t="s">
        <v>1844</v>
      </c>
      <c r="C498" s="1" t="s">
        <v>1844</v>
      </c>
      <c r="D498" s="1" t="s">
        <v>1844</v>
      </c>
      <c r="E498" s="1" t="s">
        <v>24</v>
      </c>
      <c r="F498" s="1" t="s">
        <v>1845</v>
      </c>
      <c r="G498" s="1"/>
      <c r="H498" s="1" t="s">
        <v>1846</v>
      </c>
      <c r="I498" s="1"/>
      <c r="J498" s="2"/>
      <c r="K498" s="3">
        <v>42.353368699999997</v>
      </c>
      <c r="L498" s="3">
        <v>69.613650399999997</v>
      </c>
      <c r="M498" s="1" t="s">
        <v>1847</v>
      </c>
      <c r="N498" s="1"/>
      <c r="O498" s="1" t="s">
        <v>58</v>
      </c>
      <c r="P498" s="1" t="s">
        <v>59</v>
      </c>
      <c r="Q498" s="1" t="s">
        <v>60</v>
      </c>
      <c r="R498" s="1" t="s">
        <v>60</v>
      </c>
      <c r="S498" s="1" t="s">
        <v>62</v>
      </c>
    </row>
    <row r="499" spans="1:19" ht="22.8">
      <c r="A499" s="1" t="s">
        <v>1848</v>
      </c>
      <c r="B499" s="1" t="s">
        <v>1849</v>
      </c>
      <c r="C499" s="1" t="s">
        <v>1849</v>
      </c>
      <c r="D499" s="1" t="s">
        <v>55</v>
      </c>
      <c r="E499" s="1" t="s">
        <v>24</v>
      </c>
      <c r="F499" s="1"/>
      <c r="G499" s="1"/>
      <c r="H499" s="1"/>
      <c r="I499" s="1"/>
      <c r="J499" s="2"/>
      <c r="K499" s="3">
        <v>42.315591400000002</v>
      </c>
      <c r="L499" s="3">
        <v>69.5222756</v>
      </c>
      <c r="M499" s="1" t="s">
        <v>1850</v>
      </c>
      <c r="N499" s="1"/>
      <c r="O499" s="1" t="s">
        <v>58</v>
      </c>
      <c r="P499" s="1" t="s">
        <v>59</v>
      </c>
      <c r="Q499" s="1" t="s">
        <v>60</v>
      </c>
      <c r="R499" s="1" t="s">
        <v>60</v>
      </c>
      <c r="S499" s="1" t="s">
        <v>66</v>
      </c>
    </row>
    <row r="500" spans="1:19" ht="22.8">
      <c r="A500" s="1" t="s">
        <v>1851</v>
      </c>
      <c r="B500" s="1" t="s">
        <v>1852</v>
      </c>
      <c r="C500" s="1" t="s">
        <v>1852</v>
      </c>
      <c r="D500" s="1" t="s">
        <v>1852</v>
      </c>
      <c r="E500" s="1" t="s">
        <v>24</v>
      </c>
      <c r="F500" s="1" t="s">
        <v>1853</v>
      </c>
      <c r="G500" s="1"/>
      <c r="H500" s="1" t="s">
        <v>1854</v>
      </c>
      <c r="I500" s="1"/>
      <c r="J500" s="2">
        <v>12</v>
      </c>
      <c r="K500" s="3">
        <v>42.286247000000003</v>
      </c>
      <c r="L500" s="3">
        <v>69.562762000000006</v>
      </c>
      <c r="M500" s="1" t="s">
        <v>1855</v>
      </c>
      <c r="N500" s="1"/>
      <c r="O500" s="1" t="s">
        <v>1051</v>
      </c>
      <c r="P500" s="1" t="s">
        <v>59</v>
      </c>
      <c r="Q500" s="1" t="s">
        <v>61</v>
      </c>
      <c r="R500" s="1" t="s">
        <v>60</v>
      </c>
      <c r="S500" s="1" t="s">
        <v>1052</v>
      </c>
    </row>
    <row r="501" spans="1:19">
      <c r="A501" s="1" t="s">
        <v>1856</v>
      </c>
      <c r="B501" s="1" t="s">
        <v>1852</v>
      </c>
      <c r="C501" s="1" t="s">
        <v>1852</v>
      </c>
      <c r="D501" s="1" t="s">
        <v>1852</v>
      </c>
      <c r="E501" s="1" t="s">
        <v>24</v>
      </c>
      <c r="F501" s="1"/>
      <c r="G501" s="1"/>
      <c r="H501" s="1" t="s">
        <v>1854</v>
      </c>
      <c r="I501" s="1"/>
      <c r="J501" s="2">
        <v>12</v>
      </c>
      <c r="K501" s="3">
        <v>42.308867999999997</v>
      </c>
      <c r="L501" s="3">
        <v>69.587782000000004</v>
      </c>
      <c r="M501" s="1" t="s">
        <v>1857</v>
      </c>
      <c r="N501" s="1" t="s">
        <v>1858</v>
      </c>
      <c r="O501" s="1" t="s">
        <v>1131</v>
      </c>
      <c r="P501" s="1" t="s">
        <v>59</v>
      </c>
      <c r="Q501" s="1" t="s">
        <v>61</v>
      </c>
      <c r="R501" s="1" t="s">
        <v>60</v>
      </c>
      <c r="S501" s="1" t="s">
        <v>1132</v>
      </c>
    </row>
    <row r="502" spans="1:19" ht="22.8">
      <c r="A502" s="1" t="s">
        <v>1859</v>
      </c>
      <c r="B502" s="1" t="s">
        <v>1852</v>
      </c>
      <c r="C502" s="1" t="s">
        <v>1852</v>
      </c>
      <c r="D502" s="1" t="s">
        <v>1852</v>
      </c>
      <c r="E502" s="1" t="s">
        <v>24</v>
      </c>
      <c r="F502" s="1" t="s">
        <v>1860</v>
      </c>
      <c r="G502" s="1"/>
      <c r="H502" s="1" t="s">
        <v>1854</v>
      </c>
      <c r="I502" s="1"/>
      <c r="J502" s="2">
        <v>12</v>
      </c>
      <c r="K502" s="3">
        <v>42.348283000000002</v>
      </c>
      <c r="L502" s="3">
        <v>69.692175000000006</v>
      </c>
      <c r="M502" s="1" t="s">
        <v>1861</v>
      </c>
      <c r="N502" s="1"/>
      <c r="O502" s="1" t="s">
        <v>1051</v>
      </c>
      <c r="P502" s="1" t="s">
        <v>59</v>
      </c>
      <c r="Q502" s="1" t="s">
        <v>61</v>
      </c>
      <c r="R502" s="1" t="s">
        <v>60</v>
      </c>
      <c r="S502" s="1" t="s">
        <v>1052</v>
      </c>
    </row>
    <row r="503" spans="1:19" ht="22.8">
      <c r="A503" s="1" t="s">
        <v>1862</v>
      </c>
      <c r="B503" s="1" t="s">
        <v>1852</v>
      </c>
      <c r="C503" s="1" t="s">
        <v>1852</v>
      </c>
      <c r="D503" s="1" t="s">
        <v>1852</v>
      </c>
      <c r="E503" s="1" t="s">
        <v>24</v>
      </c>
      <c r="F503" s="1" t="s">
        <v>1863</v>
      </c>
      <c r="G503" s="1"/>
      <c r="H503" s="1" t="s">
        <v>1854</v>
      </c>
      <c r="I503" s="1"/>
      <c r="J503" s="2">
        <v>12</v>
      </c>
      <c r="K503" s="3">
        <v>42.370396</v>
      </c>
      <c r="L503" s="3">
        <v>69.644291999999993</v>
      </c>
      <c r="M503" s="1" t="s">
        <v>1864</v>
      </c>
      <c r="N503" s="1"/>
      <c r="O503" s="1" t="s">
        <v>1051</v>
      </c>
      <c r="P503" s="1" t="s">
        <v>59</v>
      </c>
      <c r="Q503" s="1" t="s">
        <v>61</v>
      </c>
      <c r="R503" s="1" t="s">
        <v>60</v>
      </c>
      <c r="S503" s="1" t="s">
        <v>1052</v>
      </c>
    </row>
    <row r="504" spans="1:19" ht="22.8">
      <c r="A504" s="1" t="s">
        <v>1865</v>
      </c>
      <c r="B504" s="1" t="s">
        <v>1866</v>
      </c>
      <c r="C504" s="1" t="s">
        <v>1866</v>
      </c>
      <c r="D504" s="1" t="s">
        <v>55</v>
      </c>
      <c r="E504" s="1" t="s">
        <v>24</v>
      </c>
      <c r="F504" s="1"/>
      <c r="G504" s="1"/>
      <c r="H504" s="1"/>
      <c r="I504" s="1"/>
      <c r="J504" s="2"/>
      <c r="K504" s="3">
        <v>42.286212999999996</v>
      </c>
      <c r="L504" s="3">
        <v>69.563155899999998</v>
      </c>
      <c r="M504" s="1" t="s">
        <v>1867</v>
      </c>
      <c r="N504" s="1"/>
      <c r="O504" s="1" t="s">
        <v>58</v>
      </c>
      <c r="P504" s="1" t="s">
        <v>59</v>
      </c>
      <c r="Q504" s="1" t="s">
        <v>60</v>
      </c>
      <c r="R504" s="1" t="s">
        <v>60</v>
      </c>
      <c r="S504" s="1" t="s">
        <v>66</v>
      </c>
    </row>
    <row r="505" spans="1:19" ht="22.8">
      <c r="A505" s="1" t="s">
        <v>1868</v>
      </c>
      <c r="B505" s="1" t="s">
        <v>1869</v>
      </c>
      <c r="C505" s="1" t="s">
        <v>1869</v>
      </c>
      <c r="D505" s="1" t="s">
        <v>55</v>
      </c>
      <c r="E505" s="1" t="s">
        <v>24</v>
      </c>
      <c r="F505" s="1" t="s">
        <v>1870</v>
      </c>
      <c r="G505" s="1"/>
      <c r="H505" s="1" t="s">
        <v>1871</v>
      </c>
      <c r="I505" s="1"/>
      <c r="J505" s="2">
        <v>1</v>
      </c>
      <c r="K505" s="3">
        <v>42.249504000000002</v>
      </c>
      <c r="L505" s="3">
        <v>69.542034000000001</v>
      </c>
      <c r="M505" s="1" t="s">
        <v>1872</v>
      </c>
      <c r="N505" s="1"/>
      <c r="O505" s="1" t="s">
        <v>1051</v>
      </c>
      <c r="P505" s="1" t="s">
        <v>59</v>
      </c>
      <c r="Q505" s="1" t="s">
        <v>61</v>
      </c>
      <c r="R505" s="1" t="s">
        <v>60</v>
      </c>
      <c r="S505" s="1" t="s">
        <v>1052</v>
      </c>
    </row>
    <row r="506" spans="1:19" ht="22.8">
      <c r="A506" s="1" t="s">
        <v>1873</v>
      </c>
      <c r="B506" s="1" t="s">
        <v>1874</v>
      </c>
      <c r="C506" s="1" t="s">
        <v>1874</v>
      </c>
      <c r="D506" s="1" t="s">
        <v>1874</v>
      </c>
      <c r="E506" s="1" t="s">
        <v>24</v>
      </c>
      <c r="F506" s="1" t="s">
        <v>1875</v>
      </c>
      <c r="G506" s="1"/>
      <c r="H506" s="1"/>
      <c r="I506" s="1"/>
      <c r="J506" s="2"/>
      <c r="K506" s="3">
        <v>42.330440400000001</v>
      </c>
      <c r="L506" s="3">
        <v>69.566936999999996</v>
      </c>
      <c r="M506" s="1" t="s">
        <v>1876</v>
      </c>
      <c r="N506" s="1"/>
      <c r="O506" s="1" t="s">
        <v>58</v>
      </c>
      <c r="P506" s="1" t="s">
        <v>59</v>
      </c>
      <c r="Q506" s="1" t="s">
        <v>60</v>
      </c>
      <c r="R506" s="1" t="s">
        <v>60</v>
      </c>
      <c r="S506" s="1" t="s">
        <v>62</v>
      </c>
    </row>
    <row r="507" spans="1:19" ht="22.8">
      <c r="A507" s="1" t="s">
        <v>1877</v>
      </c>
      <c r="B507" s="1" t="s">
        <v>1878</v>
      </c>
      <c r="C507" s="1" t="s">
        <v>1878</v>
      </c>
      <c r="D507" s="1" t="s">
        <v>1878</v>
      </c>
      <c r="E507" s="1" t="s">
        <v>24</v>
      </c>
      <c r="F507" s="1"/>
      <c r="G507" s="1"/>
      <c r="H507" s="1"/>
      <c r="I507" s="1"/>
      <c r="J507" s="2"/>
      <c r="K507" s="3">
        <v>42.344802199999997</v>
      </c>
      <c r="L507" s="3">
        <v>69.541399900000002</v>
      </c>
      <c r="M507" s="1" t="s">
        <v>1879</v>
      </c>
      <c r="N507" s="1"/>
      <c r="O507" s="1" t="s">
        <v>58</v>
      </c>
      <c r="P507" s="1" t="s">
        <v>59</v>
      </c>
      <c r="Q507" s="1" t="s">
        <v>60</v>
      </c>
      <c r="R507" s="1" t="s">
        <v>60</v>
      </c>
      <c r="S507" s="1" t="s">
        <v>66</v>
      </c>
    </row>
    <row r="508" spans="1:19" ht="22.8">
      <c r="A508" s="1" t="s">
        <v>1880</v>
      </c>
      <c r="B508" s="1" t="s">
        <v>1881</v>
      </c>
      <c r="C508" s="1" t="s">
        <v>1882</v>
      </c>
      <c r="D508" s="1" t="s">
        <v>1881</v>
      </c>
      <c r="E508" s="1" t="s">
        <v>24</v>
      </c>
      <c r="F508" s="1" t="s">
        <v>1883</v>
      </c>
      <c r="G508" s="1"/>
      <c r="H508" s="1"/>
      <c r="I508" s="1"/>
      <c r="J508" s="2">
        <v>5</v>
      </c>
      <c r="K508" s="3">
        <v>42.290650999999997</v>
      </c>
      <c r="L508" s="3">
        <v>69.623502999999999</v>
      </c>
      <c r="M508" s="1" t="s">
        <v>1884</v>
      </c>
      <c r="N508" s="1" t="s">
        <v>1885</v>
      </c>
      <c r="O508" s="1" t="s">
        <v>1131</v>
      </c>
      <c r="P508" s="1" t="s">
        <v>59</v>
      </c>
      <c r="Q508" s="1" t="s">
        <v>61</v>
      </c>
      <c r="R508" s="1" t="s">
        <v>60</v>
      </c>
      <c r="S508" s="1" t="s">
        <v>1132</v>
      </c>
    </row>
    <row r="509" spans="1:19" ht="22.8">
      <c r="A509" s="1" t="s">
        <v>1886</v>
      </c>
      <c r="B509" s="1" t="s">
        <v>1852</v>
      </c>
      <c r="C509" s="1" t="s">
        <v>1887</v>
      </c>
      <c r="D509" s="1" t="s">
        <v>1852</v>
      </c>
      <c r="E509" s="1" t="s">
        <v>24</v>
      </c>
      <c r="F509" s="1" t="s">
        <v>1888</v>
      </c>
      <c r="G509" s="1"/>
      <c r="H509" s="1" t="s">
        <v>1854</v>
      </c>
      <c r="I509" s="1"/>
      <c r="J509" s="2">
        <v>12</v>
      </c>
      <c r="K509" s="3">
        <v>42.331442000000003</v>
      </c>
      <c r="L509" s="3">
        <v>69.599870999999993</v>
      </c>
      <c r="M509" s="1" t="s">
        <v>1889</v>
      </c>
      <c r="N509" s="1" t="s">
        <v>1890</v>
      </c>
      <c r="O509" s="1" t="s">
        <v>1131</v>
      </c>
      <c r="P509" s="1" t="s">
        <v>59</v>
      </c>
      <c r="Q509" s="1" t="s">
        <v>61</v>
      </c>
      <c r="R509" s="1" t="s">
        <v>60</v>
      </c>
      <c r="S509" s="1" t="s">
        <v>1132</v>
      </c>
    </row>
    <row r="510" spans="1:19" ht="22.8">
      <c r="A510" s="1" t="s">
        <v>1891</v>
      </c>
      <c r="B510" s="1" t="s">
        <v>1887</v>
      </c>
      <c r="C510" s="1" t="s">
        <v>1887</v>
      </c>
      <c r="D510" s="1" t="s">
        <v>1887</v>
      </c>
      <c r="E510" s="1" t="s">
        <v>24</v>
      </c>
      <c r="F510" s="1"/>
      <c r="G510" s="1"/>
      <c r="H510" s="1"/>
      <c r="I510" s="1"/>
      <c r="J510" s="2"/>
      <c r="K510" s="3">
        <v>42.345339500000001</v>
      </c>
      <c r="L510" s="3">
        <v>69.607983300000001</v>
      </c>
      <c r="M510" s="1" t="s">
        <v>1892</v>
      </c>
      <c r="N510" s="1"/>
      <c r="O510" s="1" t="s">
        <v>58</v>
      </c>
      <c r="P510" s="1" t="s">
        <v>59</v>
      </c>
      <c r="Q510" s="1" t="s">
        <v>60</v>
      </c>
      <c r="R510" s="1" t="s">
        <v>60</v>
      </c>
      <c r="S510" s="1" t="s">
        <v>66</v>
      </c>
    </row>
    <row r="511" spans="1:19" ht="22.8">
      <c r="A511" s="1" t="s">
        <v>1893</v>
      </c>
      <c r="B511" s="1" t="s">
        <v>1894</v>
      </c>
      <c r="C511" s="1" t="s">
        <v>1894</v>
      </c>
      <c r="D511" s="1" t="s">
        <v>55</v>
      </c>
      <c r="E511" s="1" t="s">
        <v>24</v>
      </c>
      <c r="F511" s="1" t="s">
        <v>1895</v>
      </c>
      <c r="G511" s="1"/>
      <c r="H511" s="1"/>
      <c r="I511" s="1"/>
      <c r="J511" s="2"/>
      <c r="K511" s="3">
        <v>42.320385000000002</v>
      </c>
      <c r="L511" s="3">
        <v>69.572014699999997</v>
      </c>
      <c r="M511" s="1" t="s">
        <v>1896</v>
      </c>
      <c r="N511" s="1"/>
      <c r="O511" s="1" t="s">
        <v>58</v>
      </c>
      <c r="P511" s="1" t="s">
        <v>59</v>
      </c>
      <c r="Q511" s="1" t="s">
        <v>60</v>
      </c>
      <c r="R511" s="1" t="s">
        <v>60</v>
      </c>
      <c r="S511" s="1" t="s">
        <v>62</v>
      </c>
    </row>
    <row r="512" spans="1:19" ht="22.8">
      <c r="A512" s="1" t="s">
        <v>1897</v>
      </c>
      <c r="B512" s="1" t="s">
        <v>1898</v>
      </c>
      <c r="C512" s="1" t="s">
        <v>1898</v>
      </c>
      <c r="D512" s="1" t="s">
        <v>55</v>
      </c>
      <c r="E512" s="1" t="s">
        <v>24</v>
      </c>
      <c r="F512" s="1"/>
      <c r="G512" s="1"/>
      <c r="H512" s="1"/>
      <c r="I512" s="1"/>
      <c r="J512" s="2"/>
      <c r="K512" s="3">
        <v>42.283650299999998</v>
      </c>
      <c r="L512" s="3">
        <v>69.561028199999996</v>
      </c>
      <c r="M512" s="1" t="s">
        <v>1899</v>
      </c>
      <c r="N512" s="1" t="s">
        <v>1900</v>
      </c>
      <c r="O512" s="1" t="s">
        <v>58</v>
      </c>
      <c r="P512" s="1" t="s">
        <v>59</v>
      </c>
      <c r="Q512" s="1" t="s">
        <v>60</v>
      </c>
      <c r="R512" s="1" t="s">
        <v>60</v>
      </c>
      <c r="S512" s="1" t="s">
        <v>66</v>
      </c>
    </row>
    <row r="513" spans="1:19" ht="22.8">
      <c r="A513" s="1" t="s">
        <v>1901</v>
      </c>
      <c r="B513" s="1" t="s">
        <v>1902</v>
      </c>
      <c r="C513" s="1" t="s">
        <v>1902</v>
      </c>
      <c r="D513" s="1" t="s">
        <v>1902</v>
      </c>
      <c r="E513" s="1" t="s">
        <v>24</v>
      </c>
      <c r="F513" s="1"/>
      <c r="G513" s="1"/>
      <c r="H513" s="1"/>
      <c r="I513" s="1"/>
      <c r="J513" s="2"/>
      <c r="K513" s="3">
        <v>42.261611899999998</v>
      </c>
      <c r="L513" s="3">
        <v>69.548202399999994</v>
      </c>
      <c r="M513" s="1" t="s">
        <v>1903</v>
      </c>
      <c r="N513" s="1" t="s">
        <v>1904</v>
      </c>
      <c r="O513" s="1" t="s">
        <v>58</v>
      </c>
      <c r="P513" s="1" t="s">
        <v>59</v>
      </c>
      <c r="Q513" s="1" t="s">
        <v>60</v>
      </c>
      <c r="R513" s="1" t="s">
        <v>60</v>
      </c>
      <c r="S513" s="1" t="s">
        <v>66</v>
      </c>
    </row>
    <row r="514" spans="1:19" ht="22.8">
      <c r="A514" s="1" t="s">
        <v>1905</v>
      </c>
      <c r="B514" s="1" t="s">
        <v>1902</v>
      </c>
      <c r="C514" s="1" t="s">
        <v>1902</v>
      </c>
      <c r="D514" s="1" t="s">
        <v>1902</v>
      </c>
      <c r="E514" s="1" t="s">
        <v>24</v>
      </c>
      <c r="F514" s="1"/>
      <c r="G514" s="1"/>
      <c r="H514" s="1"/>
      <c r="I514" s="1"/>
      <c r="J514" s="2"/>
      <c r="K514" s="3">
        <v>42.3269837</v>
      </c>
      <c r="L514" s="3">
        <v>69.575150800000003</v>
      </c>
      <c r="M514" s="1" t="s">
        <v>1906</v>
      </c>
      <c r="N514" s="1"/>
      <c r="O514" s="1" t="s">
        <v>58</v>
      </c>
      <c r="P514" s="1" t="s">
        <v>59</v>
      </c>
      <c r="Q514" s="1" t="s">
        <v>60</v>
      </c>
      <c r="R514" s="1" t="s">
        <v>60</v>
      </c>
      <c r="S514" s="1" t="s">
        <v>66</v>
      </c>
    </row>
    <row r="515" spans="1:19" ht="22.8">
      <c r="A515" s="1" t="s">
        <v>1907</v>
      </c>
      <c r="B515" s="1" t="s">
        <v>1908</v>
      </c>
      <c r="C515" s="1" t="s">
        <v>1908</v>
      </c>
      <c r="D515" s="1" t="s">
        <v>1908</v>
      </c>
      <c r="E515" s="1" t="s">
        <v>24</v>
      </c>
      <c r="F515" s="1" t="s">
        <v>1909</v>
      </c>
      <c r="G515" s="1"/>
      <c r="H515" s="1" t="s">
        <v>1910</v>
      </c>
      <c r="I515" s="1"/>
      <c r="J515" s="2">
        <v>2</v>
      </c>
      <c r="K515" s="3">
        <v>42.272356000000002</v>
      </c>
      <c r="L515" s="3">
        <v>69.678942000000006</v>
      </c>
      <c r="M515" s="1" t="s">
        <v>1911</v>
      </c>
      <c r="N515" s="1" t="s">
        <v>1912</v>
      </c>
      <c r="O515" s="1" t="s">
        <v>1131</v>
      </c>
      <c r="P515" s="1" t="s">
        <v>59</v>
      </c>
      <c r="Q515" s="1" t="s">
        <v>61</v>
      </c>
      <c r="R515" s="1" t="s">
        <v>60</v>
      </c>
      <c r="S515" s="1" t="s">
        <v>1132</v>
      </c>
    </row>
    <row r="516" spans="1:19" ht="22.8">
      <c r="A516" s="1" t="s">
        <v>1913</v>
      </c>
      <c r="B516" s="1" t="s">
        <v>1914</v>
      </c>
      <c r="C516" s="1" t="s">
        <v>1914</v>
      </c>
      <c r="D516" s="1" t="s">
        <v>55</v>
      </c>
      <c r="E516" s="1" t="s">
        <v>24</v>
      </c>
      <c r="F516" s="1"/>
      <c r="G516" s="1"/>
      <c r="H516" s="1"/>
      <c r="I516" s="1"/>
      <c r="J516" s="2"/>
      <c r="K516" s="3">
        <v>42.274643699999999</v>
      </c>
      <c r="L516" s="3">
        <v>69.5548407</v>
      </c>
      <c r="M516" s="1" t="s">
        <v>1915</v>
      </c>
      <c r="N516" s="1" t="s">
        <v>1916</v>
      </c>
      <c r="O516" s="1" t="s">
        <v>58</v>
      </c>
      <c r="P516" s="1" t="s">
        <v>59</v>
      </c>
      <c r="Q516" s="1" t="s">
        <v>60</v>
      </c>
      <c r="R516" s="1" t="s">
        <v>60</v>
      </c>
      <c r="S516" s="1" t="s">
        <v>66</v>
      </c>
    </row>
    <row r="517" spans="1:19" ht="22.8">
      <c r="A517" s="1" t="s">
        <v>1917</v>
      </c>
      <c r="B517" s="1" t="s">
        <v>1918</v>
      </c>
      <c r="C517" s="1" t="s">
        <v>1918</v>
      </c>
      <c r="D517" s="1" t="s">
        <v>55</v>
      </c>
      <c r="E517" s="1" t="s">
        <v>24</v>
      </c>
      <c r="F517" s="1" t="s">
        <v>1919</v>
      </c>
      <c r="G517" s="1"/>
      <c r="H517" s="1" t="s">
        <v>1920</v>
      </c>
      <c r="I517" s="1"/>
      <c r="J517" s="2">
        <v>1</v>
      </c>
      <c r="K517" s="3">
        <v>42.297981999999998</v>
      </c>
      <c r="L517" s="3">
        <v>69.650880999999998</v>
      </c>
      <c r="M517" s="1" t="s">
        <v>1921</v>
      </c>
      <c r="N517" s="1"/>
      <c r="O517" s="1" t="s">
        <v>1051</v>
      </c>
      <c r="P517" s="1" t="s">
        <v>59</v>
      </c>
      <c r="Q517" s="1" t="s">
        <v>61</v>
      </c>
      <c r="R517" s="1" t="s">
        <v>60</v>
      </c>
      <c r="S517" s="1" t="s">
        <v>1052</v>
      </c>
    </row>
    <row r="518" spans="1:19" ht="22.8">
      <c r="A518" s="1" t="s">
        <v>1922</v>
      </c>
      <c r="B518" s="1" t="s">
        <v>1923</v>
      </c>
      <c r="C518" s="1" t="s">
        <v>1923</v>
      </c>
      <c r="D518" s="1" t="s">
        <v>55</v>
      </c>
      <c r="E518" s="1" t="s">
        <v>24</v>
      </c>
      <c r="F518" s="1" t="s">
        <v>1924</v>
      </c>
      <c r="G518" s="1"/>
      <c r="H518" s="1" t="s">
        <v>1925</v>
      </c>
      <c r="I518" s="1"/>
      <c r="J518" s="2">
        <v>1</v>
      </c>
      <c r="K518" s="3">
        <v>42.304516999999997</v>
      </c>
      <c r="L518" s="3">
        <v>69.623737000000006</v>
      </c>
      <c r="M518" s="1" t="s">
        <v>1926</v>
      </c>
      <c r="N518" s="1"/>
      <c r="O518" s="1" t="s">
        <v>1051</v>
      </c>
      <c r="P518" s="1" t="s">
        <v>59</v>
      </c>
      <c r="Q518" s="1" t="s">
        <v>61</v>
      </c>
      <c r="R518" s="1" t="s">
        <v>60</v>
      </c>
      <c r="S518" s="1" t="s">
        <v>1052</v>
      </c>
    </row>
    <row r="519" spans="1:19" ht="22.8">
      <c r="A519" s="1" t="s">
        <v>1927</v>
      </c>
      <c r="B519" s="1" t="s">
        <v>1928</v>
      </c>
      <c r="C519" s="1" t="s">
        <v>1928</v>
      </c>
      <c r="D519" s="1" t="s">
        <v>55</v>
      </c>
      <c r="E519" s="1" t="s">
        <v>24</v>
      </c>
      <c r="F519" s="1"/>
      <c r="G519" s="1"/>
      <c r="H519" s="1"/>
      <c r="I519" s="1"/>
      <c r="J519" s="2"/>
      <c r="K519" s="3">
        <v>42.339362199999997</v>
      </c>
      <c r="L519" s="3">
        <v>69.591751599999995</v>
      </c>
      <c r="M519" s="1" t="s">
        <v>1929</v>
      </c>
      <c r="N519" s="1"/>
      <c r="O519" s="1" t="s">
        <v>58</v>
      </c>
      <c r="P519" s="1" t="s">
        <v>59</v>
      </c>
      <c r="Q519" s="1" t="s">
        <v>60</v>
      </c>
      <c r="R519" s="1" t="s">
        <v>60</v>
      </c>
      <c r="S519" s="1" t="s">
        <v>66</v>
      </c>
    </row>
    <row r="520" spans="1:19" ht="22.8">
      <c r="A520" s="1" t="s">
        <v>1930</v>
      </c>
      <c r="B520" s="1" t="s">
        <v>861</v>
      </c>
      <c r="C520" s="1" t="s">
        <v>861</v>
      </c>
      <c r="D520" s="1" t="s">
        <v>55</v>
      </c>
      <c r="E520" s="1" t="s">
        <v>24</v>
      </c>
      <c r="F520" s="1"/>
      <c r="G520" s="1"/>
      <c r="H520" s="1"/>
      <c r="I520" s="1"/>
      <c r="J520" s="2"/>
      <c r="K520" s="3">
        <v>42.1894755</v>
      </c>
      <c r="L520" s="3">
        <v>69.505186600000002</v>
      </c>
      <c r="M520" s="1" t="s">
        <v>1931</v>
      </c>
      <c r="N520" s="1"/>
      <c r="O520" s="1" t="s">
        <v>58</v>
      </c>
      <c r="P520" s="1" t="s">
        <v>59</v>
      </c>
      <c r="Q520" s="1" t="s">
        <v>863</v>
      </c>
      <c r="R520" s="1" t="s">
        <v>60</v>
      </c>
      <c r="S520" s="1" t="s">
        <v>864</v>
      </c>
    </row>
    <row r="521" spans="1:19" ht="22.8">
      <c r="A521" s="1" t="s">
        <v>1932</v>
      </c>
      <c r="B521" s="1" t="s">
        <v>861</v>
      </c>
      <c r="C521" s="1" t="s">
        <v>861</v>
      </c>
      <c r="D521" s="1" t="s">
        <v>55</v>
      </c>
      <c r="E521" s="1" t="s">
        <v>24</v>
      </c>
      <c r="F521" s="1"/>
      <c r="G521" s="1"/>
      <c r="H521" s="1"/>
      <c r="I521" s="1"/>
      <c r="J521" s="2"/>
      <c r="K521" s="3">
        <v>42.2255495</v>
      </c>
      <c r="L521" s="3">
        <v>69.803385300000002</v>
      </c>
      <c r="M521" s="1" t="s">
        <v>1933</v>
      </c>
      <c r="N521" s="1"/>
      <c r="O521" s="1" t="s">
        <v>58</v>
      </c>
      <c r="P521" s="1" t="s">
        <v>59</v>
      </c>
      <c r="Q521" s="1" t="s">
        <v>863</v>
      </c>
      <c r="R521" s="1" t="s">
        <v>60</v>
      </c>
      <c r="S521" s="1" t="s">
        <v>864</v>
      </c>
    </row>
    <row r="522" spans="1:19" ht="22.8">
      <c r="A522" s="1" t="s">
        <v>1934</v>
      </c>
      <c r="B522" s="1" t="s">
        <v>861</v>
      </c>
      <c r="C522" s="1" t="s">
        <v>861</v>
      </c>
      <c r="D522" s="1" t="s">
        <v>55</v>
      </c>
      <c r="E522" s="1" t="s">
        <v>24</v>
      </c>
      <c r="F522" s="1"/>
      <c r="G522" s="1"/>
      <c r="H522" s="1"/>
      <c r="I522" s="1"/>
      <c r="J522" s="2"/>
      <c r="K522" s="3">
        <v>42.253753699999997</v>
      </c>
      <c r="L522" s="3">
        <v>69.7484039</v>
      </c>
      <c r="M522" s="1" t="s">
        <v>1935</v>
      </c>
      <c r="N522" s="1"/>
      <c r="O522" s="1" t="s">
        <v>58</v>
      </c>
      <c r="P522" s="1" t="s">
        <v>59</v>
      </c>
      <c r="Q522" s="1" t="s">
        <v>863</v>
      </c>
      <c r="R522" s="1" t="s">
        <v>60</v>
      </c>
      <c r="S522" s="1" t="s">
        <v>864</v>
      </c>
    </row>
    <row r="523" spans="1:19" ht="22.8">
      <c r="A523" s="1" t="s">
        <v>1936</v>
      </c>
      <c r="B523" s="1" t="s">
        <v>861</v>
      </c>
      <c r="C523" s="1" t="s">
        <v>861</v>
      </c>
      <c r="D523" s="1" t="s">
        <v>55</v>
      </c>
      <c r="E523" s="1" t="s">
        <v>24</v>
      </c>
      <c r="F523" s="1"/>
      <c r="G523" s="1"/>
      <c r="H523" s="1"/>
      <c r="I523" s="1"/>
      <c r="J523" s="2"/>
      <c r="K523" s="3">
        <v>42.272945399999998</v>
      </c>
      <c r="L523" s="3">
        <v>69.553886700000007</v>
      </c>
      <c r="M523" s="1" t="s">
        <v>1937</v>
      </c>
      <c r="N523" s="1" t="s">
        <v>1938</v>
      </c>
      <c r="O523" s="1" t="s">
        <v>58</v>
      </c>
      <c r="P523" s="1" t="s">
        <v>59</v>
      </c>
      <c r="Q523" s="1" t="s">
        <v>863</v>
      </c>
      <c r="R523" s="1" t="s">
        <v>60</v>
      </c>
      <c r="S523" s="1" t="s">
        <v>864</v>
      </c>
    </row>
    <row r="524" spans="1:19" ht="22.8">
      <c r="A524" s="1" t="s">
        <v>1939</v>
      </c>
      <c r="B524" s="1" t="s">
        <v>861</v>
      </c>
      <c r="C524" s="1" t="s">
        <v>861</v>
      </c>
      <c r="D524" s="1" t="s">
        <v>55</v>
      </c>
      <c r="E524" s="1" t="s">
        <v>24</v>
      </c>
      <c r="F524" s="1"/>
      <c r="G524" s="1"/>
      <c r="H524" s="1"/>
      <c r="I524" s="1"/>
      <c r="J524" s="2"/>
      <c r="K524" s="3">
        <v>42.277606200000001</v>
      </c>
      <c r="L524" s="3">
        <v>69.555945899999998</v>
      </c>
      <c r="M524" s="1" t="s">
        <v>1940</v>
      </c>
      <c r="N524" s="1"/>
      <c r="O524" s="1" t="s">
        <v>58</v>
      </c>
      <c r="P524" s="1" t="s">
        <v>59</v>
      </c>
      <c r="Q524" s="1" t="s">
        <v>863</v>
      </c>
      <c r="R524" s="1" t="s">
        <v>60</v>
      </c>
      <c r="S524" s="1" t="s">
        <v>864</v>
      </c>
    </row>
    <row r="525" spans="1:19" ht="22.8">
      <c r="A525" s="1" t="s">
        <v>1941</v>
      </c>
      <c r="B525" s="1" t="s">
        <v>861</v>
      </c>
      <c r="C525" s="1" t="s">
        <v>861</v>
      </c>
      <c r="D525" s="1" t="s">
        <v>55</v>
      </c>
      <c r="E525" s="1" t="s">
        <v>24</v>
      </c>
      <c r="F525" s="1"/>
      <c r="G525" s="1"/>
      <c r="H525" s="1"/>
      <c r="I525" s="1"/>
      <c r="J525" s="2"/>
      <c r="K525" s="3">
        <v>42.279794099999997</v>
      </c>
      <c r="L525" s="3">
        <v>69.557127699999995</v>
      </c>
      <c r="M525" s="1" t="s">
        <v>1942</v>
      </c>
      <c r="N525" s="1" t="s">
        <v>1943</v>
      </c>
      <c r="O525" s="1" t="s">
        <v>58</v>
      </c>
      <c r="P525" s="1" t="s">
        <v>59</v>
      </c>
      <c r="Q525" s="1" t="s">
        <v>863</v>
      </c>
      <c r="R525" s="1" t="s">
        <v>60</v>
      </c>
      <c r="S525" s="1" t="s">
        <v>864</v>
      </c>
    </row>
    <row r="526" spans="1:19" ht="22.8">
      <c r="A526" s="1" t="s">
        <v>1944</v>
      </c>
      <c r="B526" s="1" t="s">
        <v>861</v>
      </c>
      <c r="C526" s="1" t="s">
        <v>861</v>
      </c>
      <c r="D526" s="1" t="s">
        <v>55</v>
      </c>
      <c r="E526" s="1" t="s">
        <v>24</v>
      </c>
      <c r="F526" s="1"/>
      <c r="G526" s="1"/>
      <c r="H526" s="1"/>
      <c r="I526" s="1"/>
      <c r="J526" s="2"/>
      <c r="K526" s="3">
        <v>42.290396899999998</v>
      </c>
      <c r="L526" s="3">
        <v>69.565085100000005</v>
      </c>
      <c r="M526" s="1" t="s">
        <v>1945</v>
      </c>
      <c r="N526" s="1"/>
      <c r="O526" s="1" t="s">
        <v>58</v>
      </c>
      <c r="P526" s="1" t="s">
        <v>59</v>
      </c>
      <c r="Q526" s="1" t="s">
        <v>863</v>
      </c>
      <c r="R526" s="1" t="s">
        <v>60</v>
      </c>
      <c r="S526" s="1" t="s">
        <v>864</v>
      </c>
    </row>
    <row r="527" spans="1:19" ht="22.8">
      <c r="A527" s="1" t="s">
        <v>1946</v>
      </c>
      <c r="B527" s="1" t="s">
        <v>861</v>
      </c>
      <c r="C527" s="1" t="s">
        <v>861</v>
      </c>
      <c r="D527" s="1" t="s">
        <v>55</v>
      </c>
      <c r="E527" s="1" t="s">
        <v>24</v>
      </c>
      <c r="F527" s="1"/>
      <c r="G527" s="1"/>
      <c r="H527" s="1"/>
      <c r="I527" s="1"/>
      <c r="J527" s="2"/>
      <c r="K527" s="3">
        <v>42.2973347</v>
      </c>
      <c r="L527" s="3">
        <v>69.572596799999999</v>
      </c>
      <c r="M527" s="1" t="s">
        <v>1947</v>
      </c>
      <c r="N527" s="1" t="s">
        <v>1948</v>
      </c>
      <c r="O527" s="1" t="s">
        <v>58</v>
      </c>
      <c r="P527" s="1" t="s">
        <v>59</v>
      </c>
      <c r="Q527" s="1" t="s">
        <v>863</v>
      </c>
      <c r="R527" s="1" t="s">
        <v>60</v>
      </c>
      <c r="S527" s="1" t="s">
        <v>864</v>
      </c>
    </row>
    <row r="528" spans="1:19" ht="22.8">
      <c r="A528" s="1" t="s">
        <v>1949</v>
      </c>
      <c r="B528" s="1" t="s">
        <v>861</v>
      </c>
      <c r="C528" s="1" t="s">
        <v>861</v>
      </c>
      <c r="D528" s="1" t="s">
        <v>55</v>
      </c>
      <c r="E528" s="1" t="s">
        <v>24</v>
      </c>
      <c r="F528" s="1"/>
      <c r="G528" s="1"/>
      <c r="H528" s="1"/>
      <c r="I528" s="1"/>
      <c r="J528" s="2"/>
      <c r="K528" s="3">
        <v>42.312176100000002</v>
      </c>
      <c r="L528" s="3">
        <v>69.622294999999994</v>
      </c>
      <c r="M528" s="1" t="s">
        <v>1950</v>
      </c>
      <c r="N528" s="1"/>
      <c r="O528" s="1" t="s">
        <v>58</v>
      </c>
      <c r="P528" s="1" t="s">
        <v>59</v>
      </c>
      <c r="Q528" s="1" t="s">
        <v>863</v>
      </c>
      <c r="R528" s="1" t="s">
        <v>60</v>
      </c>
      <c r="S528" s="1" t="s">
        <v>864</v>
      </c>
    </row>
    <row r="529" spans="1:19" ht="22.8">
      <c r="A529" s="1" t="s">
        <v>1951</v>
      </c>
      <c r="B529" s="1" t="s">
        <v>861</v>
      </c>
      <c r="C529" s="1" t="s">
        <v>861</v>
      </c>
      <c r="D529" s="1" t="s">
        <v>55</v>
      </c>
      <c r="E529" s="1" t="s">
        <v>24</v>
      </c>
      <c r="F529" s="1"/>
      <c r="G529" s="1"/>
      <c r="H529" s="1"/>
      <c r="I529" s="1"/>
      <c r="J529" s="2"/>
      <c r="K529" s="3">
        <v>42.321193600000001</v>
      </c>
      <c r="L529" s="3">
        <v>69.567944400000002</v>
      </c>
      <c r="M529" s="1" t="s">
        <v>1952</v>
      </c>
      <c r="N529" s="1"/>
      <c r="O529" s="1" t="s">
        <v>58</v>
      </c>
      <c r="P529" s="1" t="s">
        <v>59</v>
      </c>
      <c r="Q529" s="1" t="s">
        <v>863</v>
      </c>
      <c r="R529" s="1" t="s">
        <v>60</v>
      </c>
      <c r="S529" s="1" t="s">
        <v>864</v>
      </c>
    </row>
    <row r="530" spans="1:19" ht="22.8">
      <c r="A530" s="1" t="s">
        <v>1953</v>
      </c>
      <c r="B530" s="1" t="s">
        <v>861</v>
      </c>
      <c r="C530" s="1" t="s">
        <v>861</v>
      </c>
      <c r="D530" s="1" t="s">
        <v>55</v>
      </c>
      <c r="E530" s="1" t="s">
        <v>24</v>
      </c>
      <c r="F530" s="1"/>
      <c r="G530" s="1"/>
      <c r="H530" s="1"/>
      <c r="I530" s="1"/>
      <c r="J530" s="2"/>
      <c r="K530" s="3">
        <v>42.323208899999997</v>
      </c>
      <c r="L530" s="3">
        <v>69.648098200000007</v>
      </c>
      <c r="M530" s="1" t="s">
        <v>1954</v>
      </c>
      <c r="N530" s="1"/>
      <c r="O530" s="1" t="s">
        <v>58</v>
      </c>
      <c r="P530" s="1" t="s">
        <v>59</v>
      </c>
      <c r="Q530" s="1" t="s">
        <v>863</v>
      </c>
      <c r="R530" s="1" t="s">
        <v>60</v>
      </c>
      <c r="S530" s="1" t="s">
        <v>864</v>
      </c>
    </row>
    <row r="531" spans="1:19" ht="22.8">
      <c r="A531" s="1" t="s">
        <v>1955</v>
      </c>
      <c r="B531" s="1" t="s">
        <v>861</v>
      </c>
      <c r="C531" s="1" t="s">
        <v>861</v>
      </c>
      <c r="D531" s="1" t="s">
        <v>55</v>
      </c>
      <c r="E531" s="1" t="s">
        <v>24</v>
      </c>
      <c r="F531" s="1" t="s">
        <v>1956</v>
      </c>
      <c r="G531" s="1"/>
      <c r="H531" s="1"/>
      <c r="I531" s="1"/>
      <c r="J531" s="2"/>
      <c r="K531" s="3">
        <v>42.3263465</v>
      </c>
      <c r="L531" s="3">
        <v>69.624417100000002</v>
      </c>
      <c r="M531" s="1" t="s">
        <v>1957</v>
      </c>
      <c r="N531" s="1"/>
      <c r="O531" s="1" t="s">
        <v>58</v>
      </c>
      <c r="P531" s="1" t="s">
        <v>59</v>
      </c>
      <c r="Q531" s="1" t="s">
        <v>863</v>
      </c>
      <c r="R531" s="1" t="s">
        <v>60</v>
      </c>
      <c r="S531" s="1" t="s">
        <v>864</v>
      </c>
    </row>
    <row r="532" spans="1:19" ht="22.8">
      <c r="A532" s="1" t="s">
        <v>1958</v>
      </c>
      <c r="B532" s="1" t="s">
        <v>861</v>
      </c>
      <c r="C532" s="1" t="s">
        <v>861</v>
      </c>
      <c r="D532" s="1" t="s">
        <v>55</v>
      </c>
      <c r="E532" s="1" t="s">
        <v>24</v>
      </c>
      <c r="F532" s="1" t="s">
        <v>1959</v>
      </c>
      <c r="G532" s="1"/>
      <c r="H532" s="1"/>
      <c r="I532" s="1"/>
      <c r="J532" s="2"/>
      <c r="K532" s="3">
        <v>42.327575899999999</v>
      </c>
      <c r="L532" s="3">
        <v>69.596946799999998</v>
      </c>
      <c r="M532" s="1" t="s">
        <v>1960</v>
      </c>
      <c r="N532" s="1"/>
      <c r="O532" s="1" t="s">
        <v>58</v>
      </c>
      <c r="P532" s="1" t="s">
        <v>59</v>
      </c>
      <c r="Q532" s="1" t="s">
        <v>863</v>
      </c>
      <c r="R532" s="1" t="s">
        <v>60</v>
      </c>
      <c r="S532" s="1" t="s">
        <v>864</v>
      </c>
    </row>
    <row r="533" spans="1:19" ht="22.8">
      <c r="A533" s="1" t="s">
        <v>1961</v>
      </c>
      <c r="B533" s="1" t="s">
        <v>861</v>
      </c>
      <c r="C533" s="1" t="s">
        <v>861</v>
      </c>
      <c r="D533" s="1" t="s">
        <v>55</v>
      </c>
      <c r="E533" s="1" t="s">
        <v>24</v>
      </c>
      <c r="F533" s="1" t="s">
        <v>1962</v>
      </c>
      <c r="G533" s="1"/>
      <c r="H533" s="1"/>
      <c r="I533" s="1"/>
      <c r="J533" s="2"/>
      <c r="K533" s="3">
        <v>42.333205700000001</v>
      </c>
      <c r="L533" s="3">
        <v>69.517262299999999</v>
      </c>
      <c r="M533" s="1" t="s">
        <v>1963</v>
      </c>
      <c r="N533" s="1" t="s">
        <v>1964</v>
      </c>
      <c r="O533" s="1" t="s">
        <v>58</v>
      </c>
      <c r="P533" s="1" t="s">
        <v>59</v>
      </c>
      <c r="Q533" s="1" t="s">
        <v>863</v>
      </c>
      <c r="R533" s="1" t="s">
        <v>60</v>
      </c>
      <c r="S533" s="1" t="s">
        <v>864</v>
      </c>
    </row>
    <row r="534" spans="1:19" ht="22.8">
      <c r="A534" s="1" t="s">
        <v>1965</v>
      </c>
      <c r="B534" s="1" t="s">
        <v>861</v>
      </c>
      <c r="C534" s="1" t="s">
        <v>861</v>
      </c>
      <c r="D534" s="1" t="s">
        <v>55</v>
      </c>
      <c r="E534" s="1" t="s">
        <v>24</v>
      </c>
      <c r="F534" s="1"/>
      <c r="G534" s="1"/>
      <c r="H534" s="1"/>
      <c r="I534" s="1"/>
      <c r="J534" s="2"/>
      <c r="K534" s="3">
        <v>42.338479300000003</v>
      </c>
      <c r="L534" s="3">
        <v>69.641558200000006</v>
      </c>
      <c r="M534" s="1" t="s">
        <v>1966</v>
      </c>
      <c r="N534" s="1"/>
      <c r="O534" s="1" t="s">
        <v>58</v>
      </c>
      <c r="P534" s="1" t="s">
        <v>59</v>
      </c>
      <c r="Q534" s="1" t="s">
        <v>863</v>
      </c>
      <c r="R534" s="1" t="s">
        <v>60</v>
      </c>
      <c r="S534" s="1" t="s">
        <v>864</v>
      </c>
    </row>
    <row r="535" spans="1:19" ht="22.8">
      <c r="A535" s="1" t="s">
        <v>1967</v>
      </c>
      <c r="B535" s="1" t="s">
        <v>861</v>
      </c>
      <c r="C535" s="1" t="s">
        <v>861</v>
      </c>
      <c r="D535" s="1" t="s">
        <v>55</v>
      </c>
      <c r="E535" s="1" t="s">
        <v>24</v>
      </c>
      <c r="F535" s="1" t="s">
        <v>1968</v>
      </c>
      <c r="G535" s="1"/>
      <c r="H535" s="1"/>
      <c r="I535" s="1"/>
      <c r="J535" s="2"/>
      <c r="K535" s="3">
        <v>42.342328100000003</v>
      </c>
      <c r="L535" s="3">
        <v>69.631997900000002</v>
      </c>
      <c r="M535" s="1" t="s">
        <v>1969</v>
      </c>
      <c r="N535" s="1"/>
      <c r="O535" s="1" t="s">
        <v>58</v>
      </c>
      <c r="P535" s="1" t="s">
        <v>59</v>
      </c>
      <c r="Q535" s="1" t="s">
        <v>863</v>
      </c>
      <c r="R535" s="1" t="s">
        <v>60</v>
      </c>
      <c r="S535" s="1" t="s">
        <v>864</v>
      </c>
    </row>
    <row r="536" spans="1:19" ht="22.8">
      <c r="A536" s="1" t="s">
        <v>1970</v>
      </c>
      <c r="B536" s="1" t="s">
        <v>861</v>
      </c>
      <c r="C536" s="1" t="s">
        <v>861</v>
      </c>
      <c r="D536" s="1" t="s">
        <v>55</v>
      </c>
      <c r="E536" s="1" t="s">
        <v>24</v>
      </c>
      <c r="F536" s="1" t="s">
        <v>1971</v>
      </c>
      <c r="G536" s="1"/>
      <c r="H536" s="1"/>
      <c r="I536" s="1"/>
      <c r="J536" s="2"/>
      <c r="K536" s="3">
        <v>42.344773500000002</v>
      </c>
      <c r="L536" s="3">
        <v>69.615814499999999</v>
      </c>
      <c r="M536" s="1" t="s">
        <v>1972</v>
      </c>
      <c r="N536" s="1"/>
      <c r="O536" s="1" t="s">
        <v>58</v>
      </c>
      <c r="P536" s="1" t="s">
        <v>59</v>
      </c>
      <c r="Q536" s="1" t="s">
        <v>863</v>
      </c>
      <c r="R536" s="1" t="s">
        <v>60</v>
      </c>
      <c r="S536" s="1" t="s">
        <v>864</v>
      </c>
    </row>
    <row r="537" spans="1:19" ht="22.8">
      <c r="A537" s="1" t="s">
        <v>1973</v>
      </c>
      <c r="B537" s="1" t="s">
        <v>861</v>
      </c>
      <c r="C537" s="1" t="s">
        <v>861</v>
      </c>
      <c r="D537" s="1" t="s">
        <v>55</v>
      </c>
      <c r="E537" s="1" t="s">
        <v>24</v>
      </c>
      <c r="F537" s="1"/>
      <c r="G537" s="1"/>
      <c r="H537" s="1"/>
      <c r="I537" s="1"/>
      <c r="J537" s="2"/>
      <c r="K537" s="3">
        <v>42.361370600000001</v>
      </c>
      <c r="L537" s="3">
        <v>69.447774300000006</v>
      </c>
      <c r="M537" s="1" t="s">
        <v>1974</v>
      </c>
      <c r="N537" s="1"/>
      <c r="O537" s="1" t="s">
        <v>58</v>
      </c>
      <c r="P537" s="1" t="s">
        <v>59</v>
      </c>
      <c r="Q537" s="1" t="s">
        <v>863</v>
      </c>
      <c r="R537" s="1" t="s">
        <v>60</v>
      </c>
      <c r="S537" s="1" t="s">
        <v>864</v>
      </c>
    </row>
    <row r="538" spans="1:19" ht="22.8">
      <c r="A538" s="1" t="s">
        <v>1975</v>
      </c>
      <c r="B538" s="1" t="s">
        <v>861</v>
      </c>
      <c r="C538" s="1" t="s">
        <v>861</v>
      </c>
      <c r="D538" s="1" t="s">
        <v>55</v>
      </c>
      <c r="E538" s="1" t="s">
        <v>24</v>
      </c>
      <c r="F538" s="1"/>
      <c r="G538" s="1"/>
      <c r="H538" s="1"/>
      <c r="I538" s="1"/>
      <c r="J538" s="2"/>
      <c r="K538" s="3">
        <v>42.365888300000002</v>
      </c>
      <c r="L538" s="3">
        <v>69.422670499999995</v>
      </c>
      <c r="M538" s="1" t="s">
        <v>1976</v>
      </c>
      <c r="N538" s="1"/>
      <c r="O538" s="1" t="s">
        <v>58</v>
      </c>
      <c r="P538" s="1" t="s">
        <v>59</v>
      </c>
      <c r="Q538" s="1" t="s">
        <v>863</v>
      </c>
      <c r="R538" s="1" t="s">
        <v>60</v>
      </c>
      <c r="S538" s="1" t="s">
        <v>864</v>
      </c>
    </row>
    <row r="539" spans="1:19" ht="22.8">
      <c r="A539" s="1" t="s">
        <v>1977</v>
      </c>
      <c r="B539" s="1" t="s">
        <v>861</v>
      </c>
      <c r="C539" s="1" t="s">
        <v>861</v>
      </c>
      <c r="D539" s="1" t="s">
        <v>55</v>
      </c>
      <c r="E539" s="1" t="s">
        <v>24</v>
      </c>
      <c r="F539" s="1"/>
      <c r="G539" s="1"/>
      <c r="H539" s="1"/>
      <c r="I539" s="1"/>
      <c r="J539" s="2"/>
      <c r="K539" s="3">
        <v>42.369880299999998</v>
      </c>
      <c r="L539" s="3">
        <v>69.748193099999995</v>
      </c>
      <c r="M539" s="1" t="s">
        <v>1978</v>
      </c>
      <c r="N539" s="1"/>
      <c r="O539" s="1" t="s">
        <v>58</v>
      </c>
      <c r="P539" s="1" t="s">
        <v>59</v>
      </c>
      <c r="Q539" s="1" t="s">
        <v>863</v>
      </c>
      <c r="R539" s="1" t="s">
        <v>60</v>
      </c>
      <c r="S539" s="1" t="s">
        <v>864</v>
      </c>
    </row>
    <row r="540" spans="1:19" ht="22.8">
      <c r="A540" s="1" t="s">
        <v>1979</v>
      </c>
      <c r="B540" s="1" t="s">
        <v>861</v>
      </c>
      <c r="C540" s="1" t="s">
        <v>861</v>
      </c>
      <c r="D540" s="1" t="s">
        <v>55</v>
      </c>
      <c r="E540" s="1" t="s">
        <v>24</v>
      </c>
      <c r="F540" s="1" t="s">
        <v>1980</v>
      </c>
      <c r="G540" s="1"/>
      <c r="H540" s="1"/>
      <c r="I540" s="1"/>
      <c r="J540" s="2"/>
      <c r="K540" s="3">
        <v>42.377470000000002</v>
      </c>
      <c r="L540" s="3">
        <v>69.604815700000003</v>
      </c>
      <c r="M540" s="1" t="s">
        <v>1981</v>
      </c>
      <c r="N540" s="1"/>
      <c r="O540" s="1" t="s">
        <v>58</v>
      </c>
      <c r="P540" s="1" t="s">
        <v>59</v>
      </c>
      <c r="Q540" s="1" t="s">
        <v>863</v>
      </c>
      <c r="R540" s="1" t="s">
        <v>60</v>
      </c>
      <c r="S540" s="1" t="s">
        <v>864</v>
      </c>
    </row>
    <row r="541" spans="1:19" ht="22.8">
      <c r="A541" s="1" t="s">
        <v>1982</v>
      </c>
      <c r="B541" s="1" t="s">
        <v>861</v>
      </c>
      <c r="C541" s="1" t="s">
        <v>861</v>
      </c>
      <c r="D541" s="1" t="s">
        <v>55</v>
      </c>
      <c r="E541" s="1" t="s">
        <v>24</v>
      </c>
      <c r="F541" s="1" t="s">
        <v>1983</v>
      </c>
      <c r="G541" s="1"/>
      <c r="H541" s="1"/>
      <c r="I541" s="1"/>
      <c r="J541" s="2"/>
      <c r="K541" s="3">
        <v>42.377587900000002</v>
      </c>
      <c r="L541" s="3">
        <v>69.616196200000005</v>
      </c>
      <c r="M541" s="1" t="s">
        <v>1984</v>
      </c>
      <c r="N541" s="1"/>
      <c r="O541" s="1" t="s">
        <v>58</v>
      </c>
      <c r="P541" s="1" t="s">
        <v>59</v>
      </c>
      <c r="Q541" s="1" t="s">
        <v>863</v>
      </c>
      <c r="R541" s="1" t="s">
        <v>60</v>
      </c>
      <c r="S541" s="1" t="s">
        <v>864</v>
      </c>
    </row>
    <row r="542" spans="1:19" ht="22.8">
      <c r="A542" s="1" t="s">
        <v>1985</v>
      </c>
      <c r="B542" s="1" t="s">
        <v>861</v>
      </c>
      <c r="C542" s="1" t="s">
        <v>861</v>
      </c>
      <c r="D542" s="1" t="s">
        <v>55</v>
      </c>
      <c r="E542" s="1" t="s">
        <v>24</v>
      </c>
      <c r="F542" s="1"/>
      <c r="G542" s="1"/>
      <c r="H542" s="1"/>
      <c r="I542" s="1"/>
      <c r="J542" s="2"/>
      <c r="K542" s="3">
        <v>42.387375400000003</v>
      </c>
      <c r="L542" s="3">
        <v>69.4753075</v>
      </c>
      <c r="M542" s="1" t="s">
        <v>1986</v>
      </c>
      <c r="N542" s="1"/>
      <c r="O542" s="1" t="s">
        <v>58</v>
      </c>
      <c r="P542" s="1" t="s">
        <v>59</v>
      </c>
      <c r="Q542" s="1" t="s">
        <v>863</v>
      </c>
      <c r="R542" s="1" t="s">
        <v>60</v>
      </c>
      <c r="S542" s="1" t="s">
        <v>864</v>
      </c>
    </row>
    <row r="543" spans="1:19" ht="22.8">
      <c r="A543" s="1" t="s">
        <v>1987</v>
      </c>
      <c r="B543" s="1" t="s">
        <v>861</v>
      </c>
      <c r="C543" s="1" t="s">
        <v>861</v>
      </c>
      <c r="D543" s="1" t="s">
        <v>55</v>
      </c>
      <c r="E543" s="1" t="s">
        <v>24</v>
      </c>
      <c r="F543" s="1"/>
      <c r="G543" s="1"/>
      <c r="H543" s="1"/>
      <c r="I543" s="1"/>
      <c r="J543" s="2"/>
      <c r="K543" s="3">
        <v>42.387823099999999</v>
      </c>
      <c r="L543" s="3">
        <v>69.474327099999996</v>
      </c>
      <c r="M543" s="1" t="s">
        <v>1988</v>
      </c>
      <c r="N543" s="1"/>
      <c r="O543" s="1" t="s">
        <v>58</v>
      </c>
      <c r="P543" s="1" t="s">
        <v>59</v>
      </c>
      <c r="Q543" s="1" t="s">
        <v>863</v>
      </c>
      <c r="R543" s="1" t="s">
        <v>60</v>
      </c>
      <c r="S543" s="1" t="s">
        <v>864</v>
      </c>
    </row>
    <row r="544" spans="1:19" ht="22.8">
      <c r="A544" s="1" t="s">
        <v>1989</v>
      </c>
      <c r="B544" s="1" t="s">
        <v>861</v>
      </c>
      <c r="C544" s="1" t="s">
        <v>861</v>
      </c>
      <c r="D544" s="1" t="s">
        <v>55</v>
      </c>
      <c r="E544" s="1" t="s">
        <v>24</v>
      </c>
      <c r="F544" s="1"/>
      <c r="G544" s="1"/>
      <c r="H544" s="1"/>
      <c r="I544" s="1"/>
      <c r="J544" s="2"/>
      <c r="K544" s="3">
        <v>42.390261899999999</v>
      </c>
      <c r="L544" s="3">
        <v>69.469174300000006</v>
      </c>
      <c r="M544" s="1" t="s">
        <v>1990</v>
      </c>
      <c r="N544" s="1"/>
      <c r="O544" s="1" t="s">
        <v>58</v>
      </c>
      <c r="P544" s="1" t="s">
        <v>59</v>
      </c>
      <c r="Q544" s="1" t="s">
        <v>863</v>
      </c>
      <c r="R544" s="1" t="s">
        <v>60</v>
      </c>
      <c r="S544" s="1" t="s">
        <v>864</v>
      </c>
    </row>
    <row r="545" spans="1:19" ht="22.8">
      <c r="A545" s="1" t="s">
        <v>1991</v>
      </c>
      <c r="B545" s="1" t="s">
        <v>861</v>
      </c>
      <c r="C545" s="1" t="s">
        <v>861</v>
      </c>
      <c r="D545" s="1" t="s">
        <v>55</v>
      </c>
      <c r="E545" s="1" t="s">
        <v>24</v>
      </c>
      <c r="F545" s="1"/>
      <c r="G545" s="1"/>
      <c r="H545" s="1"/>
      <c r="I545" s="1"/>
      <c r="J545" s="2"/>
      <c r="K545" s="3">
        <v>42.402825100000001</v>
      </c>
      <c r="L545" s="3">
        <v>69.632196500000006</v>
      </c>
      <c r="M545" s="1" t="s">
        <v>1992</v>
      </c>
      <c r="N545" s="1"/>
      <c r="O545" s="1" t="s">
        <v>58</v>
      </c>
      <c r="P545" s="1" t="s">
        <v>59</v>
      </c>
      <c r="Q545" s="1" t="s">
        <v>863</v>
      </c>
      <c r="R545" s="1" t="s">
        <v>60</v>
      </c>
      <c r="S545" s="1" t="s">
        <v>864</v>
      </c>
    </row>
    <row r="546" spans="1:19" ht="22.8">
      <c r="A546" s="1" t="s">
        <v>1993</v>
      </c>
      <c r="B546" s="1" t="s">
        <v>861</v>
      </c>
      <c r="C546" s="1" t="s">
        <v>861</v>
      </c>
      <c r="D546" s="1" t="s">
        <v>55</v>
      </c>
      <c r="E546" s="1" t="s">
        <v>24</v>
      </c>
      <c r="F546" s="1"/>
      <c r="G546" s="1"/>
      <c r="H546" s="1"/>
      <c r="I546" s="1"/>
      <c r="J546" s="2"/>
      <c r="K546" s="3">
        <v>42.412985200000001</v>
      </c>
      <c r="L546" s="3">
        <v>69.629832199999996</v>
      </c>
      <c r="M546" s="1" t="s">
        <v>1994</v>
      </c>
      <c r="N546" s="1"/>
      <c r="O546" s="1" t="s">
        <v>58</v>
      </c>
      <c r="P546" s="1" t="s">
        <v>59</v>
      </c>
      <c r="Q546" s="1" t="s">
        <v>863</v>
      </c>
      <c r="R546" s="1" t="s">
        <v>60</v>
      </c>
      <c r="S546" s="1" t="s">
        <v>864</v>
      </c>
    </row>
    <row r="547" spans="1:19" ht="22.8">
      <c r="A547" s="1" t="s">
        <v>1995</v>
      </c>
      <c r="B547" s="1" t="s">
        <v>861</v>
      </c>
      <c r="C547" s="1" t="s">
        <v>861</v>
      </c>
      <c r="D547" s="1" t="s">
        <v>55</v>
      </c>
      <c r="E547" s="1" t="s">
        <v>24</v>
      </c>
      <c r="F547" s="1"/>
      <c r="G547" s="1"/>
      <c r="H547" s="1"/>
      <c r="I547" s="1"/>
      <c r="J547" s="2"/>
      <c r="K547" s="3">
        <v>42.413096600000003</v>
      </c>
      <c r="L547" s="3">
        <v>69.637357499999993</v>
      </c>
      <c r="M547" s="1" t="s">
        <v>1996</v>
      </c>
      <c r="N547" s="1"/>
      <c r="O547" s="1" t="s">
        <v>58</v>
      </c>
      <c r="P547" s="1" t="s">
        <v>59</v>
      </c>
      <c r="Q547" s="1" t="s">
        <v>863</v>
      </c>
      <c r="R547" s="1" t="s">
        <v>60</v>
      </c>
      <c r="S547" s="1" t="s">
        <v>864</v>
      </c>
    </row>
    <row r="548" spans="1:19" ht="22.8">
      <c r="A548" s="1" t="s">
        <v>1997</v>
      </c>
      <c r="B548" s="1" t="s">
        <v>861</v>
      </c>
      <c r="C548" s="1" t="s">
        <v>861</v>
      </c>
      <c r="D548" s="1" t="s">
        <v>55</v>
      </c>
      <c r="E548" s="1" t="s">
        <v>24</v>
      </c>
      <c r="F548" s="1"/>
      <c r="G548" s="1"/>
      <c r="H548" s="1"/>
      <c r="I548" s="1"/>
      <c r="J548" s="2"/>
      <c r="K548" s="3">
        <v>42.414740000000002</v>
      </c>
      <c r="L548" s="3">
        <v>69.622167099999999</v>
      </c>
      <c r="M548" s="1" t="s">
        <v>1998</v>
      </c>
      <c r="N548" s="1"/>
      <c r="O548" s="1" t="s">
        <v>58</v>
      </c>
      <c r="P548" s="1" t="s">
        <v>59</v>
      </c>
      <c r="Q548" s="1" t="s">
        <v>863</v>
      </c>
      <c r="R548" s="1" t="s">
        <v>60</v>
      </c>
      <c r="S548" s="1" t="s">
        <v>864</v>
      </c>
    </row>
    <row r="549" spans="1:19" ht="22.8">
      <c r="A549" s="1" t="s">
        <v>1999</v>
      </c>
      <c r="B549" s="1" t="s">
        <v>861</v>
      </c>
      <c r="C549" s="1" t="s">
        <v>861</v>
      </c>
      <c r="D549" s="1" t="s">
        <v>55</v>
      </c>
      <c r="E549" s="1" t="s">
        <v>24</v>
      </c>
      <c r="F549" s="1"/>
      <c r="G549" s="1"/>
      <c r="H549" s="1"/>
      <c r="I549" s="1"/>
      <c r="J549" s="2"/>
      <c r="K549" s="3">
        <v>42.415401600000003</v>
      </c>
      <c r="L549" s="3">
        <v>69.680737800000003</v>
      </c>
      <c r="M549" s="1" t="s">
        <v>2000</v>
      </c>
      <c r="N549" s="1"/>
      <c r="O549" s="1" t="s">
        <v>58</v>
      </c>
      <c r="P549" s="1" t="s">
        <v>59</v>
      </c>
      <c r="Q549" s="1" t="s">
        <v>863</v>
      </c>
      <c r="R549" s="1" t="s">
        <v>60</v>
      </c>
      <c r="S549" s="1" t="s">
        <v>864</v>
      </c>
    </row>
    <row r="550" spans="1:19" ht="22.8">
      <c r="A550" s="1" t="s">
        <v>2001</v>
      </c>
      <c r="B550" s="1" t="s">
        <v>861</v>
      </c>
      <c r="C550" s="1" t="s">
        <v>861</v>
      </c>
      <c r="D550" s="1" t="s">
        <v>55</v>
      </c>
      <c r="E550" s="1" t="s">
        <v>24</v>
      </c>
      <c r="F550" s="1"/>
      <c r="G550" s="1"/>
      <c r="H550" s="1"/>
      <c r="I550" s="1"/>
      <c r="J550" s="2"/>
      <c r="K550" s="3">
        <v>42.431490199999999</v>
      </c>
      <c r="L550" s="3">
        <v>69.558747400000001</v>
      </c>
      <c r="M550" s="1" t="s">
        <v>2002</v>
      </c>
      <c r="N550" s="1" t="s">
        <v>2003</v>
      </c>
      <c r="O550" s="1" t="s">
        <v>58</v>
      </c>
      <c r="P550" s="1" t="s">
        <v>59</v>
      </c>
      <c r="Q550" s="1" t="s">
        <v>863</v>
      </c>
      <c r="R550" s="1" t="s">
        <v>60</v>
      </c>
      <c r="S550" s="1" t="s">
        <v>864</v>
      </c>
    </row>
    <row r="551" spans="1:19" ht="22.8">
      <c r="A551" s="1" t="s">
        <v>2004</v>
      </c>
      <c r="B551" s="1" t="s">
        <v>861</v>
      </c>
      <c r="C551" s="1" t="s">
        <v>861</v>
      </c>
      <c r="D551" s="1" t="s">
        <v>55</v>
      </c>
      <c r="E551" s="1" t="s">
        <v>24</v>
      </c>
      <c r="F551" s="1"/>
      <c r="G551" s="1"/>
      <c r="H551" s="1"/>
      <c r="I551" s="1"/>
      <c r="J551" s="2"/>
      <c r="K551" s="3">
        <v>42.461944099999997</v>
      </c>
      <c r="L551" s="3">
        <v>69.575425699999997</v>
      </c>
      <c r="M551" s="1" t="s">
        <v>2005</v>
      </c>
      <c r="N551" s="1" t="s">
        <v>2006</v>
      </c>
      <c r="O551" s="1" t="s">
        <v>58</v>
      </c>
      <c r="P551" s="1" t="s">
        <v>59</v>
      </c>
      <c r="Q551" s="1" t="s">
        <v>863</v>
      </c>
      <c r="R551" s="1" t="s">
        <v>60</v>
      </c>
      <c r="S551" s="1" t="s">
        <v>864</v>
      </c>
    </row>
    <row r="552" spans="1:19" ht="22.8">
      <c r="A552" s="1" t="s">
        <v>2007</v>
      </c>
      <c r="B552" s="1" t="s">
        <v>2008</v>
      </c>
      <c r="C552" s="1" t="s">
        <v>2008</v>
      </c>
      <c r="D552" s="1" t="s">
        <v>2008</v>
      </c>
      <c r="E552" s="1" t="s">
        <v>24</v>
      </c>
      <c r="F552" s="1" t="s">
        <v>2009</v>
      </c>
      <c r="G552" s="1"/>
      <c r="H552" s="1" t="s">
        <v>2010</v>
      </c>
      <c r="I552" s="1"/>
      <c r="J552" s="2">
        <v>2</v>
      </c>
      <c r="K552" s="3">
        <v>42.291038999999998</v>
      </c>
      <c r="L552" s="3">
        <v>69.560286000000005</v>
      </c>
      <c r="M552" s="1" t="s">
        <v>2011</v>
      </c>
      <c r="N552" s="1"/>
      <c r="O552" s="1" t="s">
        <v>1051</v>
      </c>
      <c r="P552" s="1" t="s">
        <v>59</v>
      </c>
      <c r="Q552" s="1" t="s">
        <v>61</v>
      </c>
      <c r="R552" s="1" t="s">
        <v>60</v>
      </c>
      <c r="S552" s="1" t="s">
        <v>1052</v>
      </c>
    </row>
    <row r="553" spans="1:19" ht="22.8">
      <c r="A553" s="1" t="s">
        <v>2012</v>
      </c>
      <c r="B553" s="1" t="s">
        <v>2013</v>
      </c>
      <c r="C553" s="1" t="s">
        <v>2013</v>
      </c>
      <c r="D553" s="1" t="s">
        <v>55</v>
      </c>
      <c r="E553" s="1" t="s">
        <v>24</v>
      </c>
      <c r="F553" s="1"/>
      <c r="G553" s="1"/>
      <c r="H553" s="1"/>
      <c r="I553" s="1"/>
      <c r="J553" s="2"/>
      <c r="K553" s="3">
        <v>42.291913800000003</v>
      </c>
      <c r="L553" s="3">
        <v>69.654400899999999</v>
      </c>
      <c r="M553" s="1" t="s">
        <v>2014</v>
      </c>
      <c r="N553" s="1"/>
      <c r="O553" s="1" t="s">
        <v>58</v>
      </c>
      <c r="P553" s="1" t="s">
        <v>59</v>
      </c>
      <c r="Q553" s="1" t="s">
        <v>60</v>
      </c>
      <c r="R553" s="1" t="s">
        <v>60</v>
      </c>
      <c r="S553" s="1" t="s">
        <v>66</v>
      </c>
    </row>
    <row r="554" spans="1:19" ht="22.8">
      <c r="A554" s="1" t="s">
        <v>2015</v>
      </c>
      <c r="B554" s="1" t="s">
        <v>2016</v>
      </c>
      <c r="C554" s="1" t="s">
        <v>2016</v>
      </c>
      <c r="D554" s="1" t="s">
        <v>55</v>
      </c>
      <c r="E554" s="1" t="s">
        <v>24</v>
      </c>
      <c r="F554" s="1" t="s">
        <v>2017</v>
      </c>
      <c r="G554" s="1"/>
      <c r="H554" s="1"/>
      <c r="I554" s="1"/>
      <c r="J554" s="2"/>
      <c r="K554" s="3">
        <v>42.331282199999997</v>
      </c>
      <c r="L554" s="3">
        <v>69.600757299999998</v>
      </c>
      <c r="M554" s="1" t="s">
        <v>2018</v>
      </c>
      <c r="N554" s="1"/>
      <c r="O554" s="1" t="s">
        <v>58</v>
      </c>
      <c r="P554" s="1" t="s">
        <v>59</v>
      </c>
      <c r="Q554" s="1" t="s">
        <v>60</v>
      </c>
      <c r="R554" s="1" t="s">
        <v>60</v>
      </c>
      <c r="S554" s="1" t="s">
        <v>62</v>
      </c>
    </row>
    <row r="555" spans="1:19" ht="22.8">
      <c r="A555" s="1" t="s">
        <v>2019</v>
      </c>
      <c r="B555" s="1" t="s">
        <v>2020</v>
      </c>
      <c r="C555" s="1" t="s">
        <v>2020</v>
      </c>
      <c r="D555" s="1" t="s">
        <v>55</v>
      </c>
      <c r="E555" s="1" t="s">
        <v>24</v>
      </c>
      <c r="F555" s="1"/>
      <c r="G555" s="1"/>
      <c r="H555" s="1"/>
      <c r="I555" s="1"/>
      <c r="J555" s="2"/>
      <c r="K555" s="3">
        <v>42.327738799999999</v>
      </c>
      <c r="L555" s="3">
        <v>69.646886699999996</v>
      </c>
      <c r="M555" s="1" t="s">
        <v>2021</v>
      </c>
      <c r="N555" s="1"/>
      <c r="O555" s="1" t="s">
        <v>58</v>
      </c>
      <c r="P555" s="1" t="s">
        <v>59</v>
      </c>
      <c r="Q555" s="1" t="s">
        <v>60</v>
      </c>
      <c r="R555" s="1" t="s">
        <v>60</v>
      </c>
      <c r="S555" s="1" t="s">
        <v>66</v>
      </c>
    </row>
    <row r="556" spans="1:19" ht="22.8">
      <c r="A556" s="1" t="s">
        <v>2022</v>
      </c>
      <c r="B556" s="1" t="s">
        <v>2023</v>
      </c>
      <c r="C556" s="1" t="s">
        <v>2023</v>
      </c>
      <c r="D556" s="1" t="s">
        <v>2023</v>
      </c>
      <c r="E556" s="1" t="s">
        <v>24</v>
      </c>
      <c r="F556" s="1" t="s">
        <v>2024</v>
      </c>
      <c r="G556" s="1"/>
      <c r="H556" s="1" t="s">
        <v>2025</v>
      </c>
      <c r="I556" s="1"/>
      <c r="J556" s="2">
        <v>17</v>
      </c>
      <c r="K556" s="3">
        <v>42.283040999999997</v>
      </c>
      <c r="L556" s="3">
        <v>69.560817999999998</v>
      </c>
      <c r="M556" s="1" t="s">
        <v>2026</v>
      </c>
      <c r="N556" s="1" t="s">
        <v>2027</v>
      </c>
      <c r="O556" s="1" t="s">
        <v>1131</v>
      </c>
      <c r="P556" s="1" t="s">
        <v>59</v>
      </c>
      <c r="Q556" s="1" t="s">
        <v>61</v>
      </c>
      <c r="R556" s="1" t="s">
        <v>60</v>
      </c>
      <c r="S556" s="1" t="s">
        <v>1132</v>
      </c>
    </row>
    <row r="557" spans="1:19" ht="22.8">
      <c r="A557" s="1" t="s">
        <v>2028</v>
      </c>
      <c r="B557" s="1" t="s">
        <v>2023</v>
      </c>
      <c r="C557" s="1" t="s">
        <v>2023</v>
      </c>
      <c r="D557" s="1" t="s">
        <v>2023</v>
      </c>
      <c r="E557" s="1" t="s">
        <v>24</v>
      </c>
      <c r="F557" s="1" t="s">
        <v>2029</v>
      </c>
      <c r="G557" s="1"/>
      <c r="H557" s="1" t="s">
        <v>2030</v>
      </c>
      <c r="I557" s="1"/>
      <c r="J557" s="2">
        <v>17</v>
      </c>
      <c r="K557" s="3">
        <v>42.290281</v>
      </c>
      <c r="L557" s="3">
        <v>69.624896000000007</v>
      </c>
      <c r="M557" s="1" t="s">
        <v>2031</v>
      </c>
      <c r="N557" s="1" t="s">
        <v>2032</v>
      </c>
      <c r="O557" s="1" t="s">
        <v>1131</v>
      </c>
      <c r="P557" s="1" t="s">
        <v>59</v>
      </c>
      <c r="Q557" s="1" t="s">
        <v>61</v>
      </c>
      <c r="R557" s="1" t="s">
        <v>60</v>
      </c>
      <c r="S557" s="1" t="s">
        <v>1132</v>
      </c>
    </row>
    <row r="558" spans="1:19" ht="22.8">
      <c r="A558" s="1" t="s">
        <v>2033</v>
      </c>
      <c r="B558" s="1" t="s">
        <v>2034</v>
      </c>
      <c r="C558" s="1" t="s">
        <v>2023</v>
      </c>
      <c r="D558" s="1" t="s">
        <v>2034</v>
      </c>
      <c r="E558" s="1" t="s">
        <v>24</v>
      </c>
      <c r="F558" s="1"/>
      <c r="G558" s="1"/>
      <c r="H558" s="1"/>
      <c r="I558" s="1"/>
      <c r="J558" s="2"/>
      <c r="K558" s="3">
        <v>42.301061199999999</v>
      </c>
      <c r="L558" s="3">
        <v>69.612875900000006</v>
      </c>
      <c r="M558" s="1" t="s">
        <v>2035</v>
      </c>
      <c r="N558" s="1"/>
      <c r="O558" s="1" t="s">
        <v>58</v>
      </c>
      <c r="P558" s="1" t="s">
        <v>59</v>
      </c>
      <c r="Q558" s="1" t="s">
        <v>60</v>
      </c>
      <c r="R558" s="1" t="s">
        <v>60</v>
      </c>
      <c r="S558" s="1" t="s">
        <v>66</v>
      </c>
    </row>
    <row r="559" spans="1:19" ht="22.8">
      <c r="A559" s="1" t="s">
        <v>2036</v>
      </c>
      <c r="B559" s="1" t="s">
        <v>2023</v>
      </c>
      <c r="C559" s="1" t="s">
        <v>2023</v>
      </c>
      <c r="D559" s="1" t="s">
        <v>2023</v>
      </c>
      <c r="E559" s="1" t="s">
        <v>24</v>
      </c>
      <c r="F559" s="1" t="s">
        <v>2037</v>
      </c>
      <c r="G559" s="1"/>
      <c r="H559" s="1" t="s">
        <v>2038</v>
      </c>
      <c r="I559" s="1"/>
      <c r="J559" s="2">
        <v>17</v>
      </c>
      <c r="K559" s="3">
        <v>42.303345</v>
      </c>
      <c r="L559" s="3">
        <v>69.614940000000004</v>
      </c>
      <c r="M559" s="1" t="s">
        <v>2039</v>
      </c>
      <c r="N559" s="1"/>
      <c r="O559" s="1" t="s">
        <v>1051</v>
      </c>
      <c r="P559" s="1" t="s">
        <v>59</v>
      </c>
      <c r="Q559" s="1" t="s">
        <v>61</v>
      </c>
      <c r="R559" s="1" t="s">
        <v>60</v>
      </c>
      <c r="S559" s="1" t="s">
        <v>1052</v>
      </c>
    </row>
    <row r="560" spans="1:19" ht="22.8">
      <c r="A560" s="1" t="s">
        <v>2040</v>
      </c>
      <c r="B560" s="1" t="s">
        <v>2023</v>
      </c>
      <c r="C560" s="1" t="s">
        <v>2023</v>
      </c>
      <c r="D560" s="1" t="s">
        <v>2023</v>
      </c>
      <c r="E560" s="1" t="s">
        <v>24</v>
      </c>
      <c r="F560" s="1"/>
      <c r="G560" s="1"/>
      <c r="H560" s="1"/>
      <c r="I560" s="1"/>
      <c r="J560" s="2"/>
      <c r="K560" s="3">
        <v>42.3039956</v>
      </c>
      <c r="L560" s="3">
        <v>69.649048500000006</v>
      </c>
      <c r="M560" s="1" t="s">
        <v>2041</v>
      </c>
      <c r="N560" s="1"/>
      <c r="O560" s="1" t="s">
        <v>58</v>
      </c>
      <c r="P560" s="1" t="s">
        <v>59</v>
      </c>
      <c r="Q560" s="1" t="s">
        <v>60</v>
      </c>
      <c r="R560" s="1" t="s">
        <v>60</v>
      </c>
      <c r="S560" s="1" t="s">
        <v>66</v>
      </c>
    </row>
    <row r="561" spans="1:19" ht="22.8">
      <c r="A561" s="1" t="s">
        <v>2042</v>
      </c>
      <c r="B561" s="1" t="s">
        <v>2023</v>
      </c>
      <c r="C561" s="1" t="s">
        <v>2023</v>
      </c>
      <c r="D561" s="1" t="s">
        <v>2023</v>
      </c>
      <c r="E561" s="1" t="s">
        <v>24</v>
      </c>
      <c r="F561" s="1" t="s">
        <v>2043</v>
      </c>
      <c r="G561" s="1"/>
      <c r="H561" s="1" t="s">
        <v>2044</v>
      </c>
      <c r="I561" s="1"/>
      <c r="J561" s="2">
        <v>17</v>
      </c>
      <c r="K561" s="3">
        <v>42.305374999999998</v>
      </c>
      <c r="L561" s="3">
        <v>69.562014000000005</v>
      </c>
      <c r="M561" s="1" t="s">
        <v>2045</v>
      </c>
      <c r="N561" s="1"/>
      <c r="O561" s="1" t="s">
        <v>1051</v>
      </c>
      <c r="P561" s="1" t="s">
        <v>59</v>
      </c>
      <c r="Q561" s="1" t="s">
        <v>61</v>
      </c>
      <c r="R561" s="1" t="s">
        <v>60</v>
      </c>
      <c r="S561" s="1" t="s">
        <v>1052</v>
      </c>
    </row>
    <row r="562" spans="1:19" ht="22.8">
      <c r="A562" s="1" t="s">
        <v>2046</v>
      </c>
      <c r="B562" s="1" t="s">
        <v>2023</v>
      </c>
      <c r="C562" s="1" t="s">
        <v>2023</v>
      </c>
      <c r="D562" s="1" t="s">
        <v>2023</v>
      </c>
      <c r="E562" s="1" t="s">
        <v>24</v>
      </c>
      <c r="F562" s="1" t="s">
        <v>2047</v>
      </c>
      <c r="G562" s="1"/>
      <c r="H562" s="1" t="s">
        <v>2044</v>
      </c>
      <c r="I562" s="1"/>
      <c r="J562" s="2">
        <v>17</v>
      </c>
      <c r="K562" s="3">
        <v>42.310975999999997</v>
      </c>
      <c r="L562" s="3">
        <v>69.622604999999993</v>
      </c>
      <c r="M562" s="1" t="s">
        <v>2048</v>
      </c>
      <c r="N562" s="1"/>
      <c r="O562" s="1" t="s">
        <v>1051</v>
      </c>
      <c r="P562" s="1" t="s">
        <v>59</v>
      </c>
      <c r="Q562" s="1" t="s">
        <v>61</v>
      </c>
      <c r="R562" s="1" t="s">
        <v>60</v>
      </c>
      <c r="S562" s="1" t="s">
        <v>1052</v>
      </c>
    </row>
    <row r="563" spans="1:19" ht="22.8">
      <c r="A563" s="1" t="s">
        <v>2049</v>
      </c>
      <c r="B563" s="1" t="s">
        <v>2023</v>
      </c>
      <c r="C563" s="1" t="s">
        <v>2023</v>
      </c>
      <c r="D563" s="1" t="s">
        <v>2023</v>
      </c>
      <c r="E563" s="1" t="s">
        <v>24</v>
      </c>
      <c r="F563" s="1" t="s">
        <v>2050</v>
      </c>
      <c r="G563" s="1"/>
      <c r="H563" s="1" t="s">
        <v>2051</v>
      </c>
      <c r="I563" s="1"/>
      <c r="J563" s="2">
        <v>17</v>
      </c>
      <c r="K563" s="3">
        <v>42.317760999999997</v>
      </c>
      <c r="L563" s="3">
        <v>69.632807</v>
      </c>
      <c r="M563" s="1" t="s">
        <v>2052</v>
      </c>
      <c r="N563" s="1"/>
      <c r="O563" s="1" t="s">
        <v>1051</v>
      </c>
      <c r="P563" s="1" t="s">
        <v>59</v>
      </c>
      <c r="Q563" s="1" t="s">
        <v>61</v>
      </c>
      <c r="R563" s="1" t="s">
        <v>60</v>
      </c>
      <c r="S563" s="1" t="s">
        <v>1052</v>
      </c>
    </row>
    <row r="564" spans="1:19" ht="22.8">
      <c r="A564" s="1" t="s">
        <v>2053</v>
      </c>
      <c r="B564" s="1" t="s">
        <v>2023</v>
      </c>
      <c r="C564" s="1" t="s">
        <v>2023</v>
      </c>
      <c r="D564" s="1" t="s">
        <v>2023</v>
      </c>
      <c r="E564" s="1" t="s">
        <v>24</v>
      </c>
      <c r="F564" s="1" t="s">
        <v>2054</v>
      </c>
      <c r="G564" s="1"/>
      <c r="H564" s="1" t="s">
        <v>2055</v>
      </c>
      <c r="I564" s="1"/>
      <c r="J564" s="2">
        <v>17</v>
      </c>
      <c r="K564" s="3">
        <v>42.326436000000001</v>
      </c>
      <c r="L564" s="3">
        <v>69.627266000000006</v>
      </c>
      <c r="M564" s="1" t="s">
        <v>2056</v>
      </c>
      <c r="N564" s="1" t="s">
        <v>2057</v>
      </c>
      <c r="O564" s="1" t="s">
        <v>1131</v>
      </c>
      <c r="P564" s="1" t="s">
        <v>59</v>
      </c>
      <c r="Q564" s="1" t="s">
        <v>61</v>
      </c>
      <c r="R564" s="1" t="s">
        <v>60</v>
      </c>
      <c r="S564" s="1" t="s">
        <v>1132</v>
      </c>
    </row>
    <row r="565" spans="1:19">
      <c r="A565" s="1" t="s">
        <v>2058</v>
      </c>
      <c r="B565" s="1" t="s">
        <v>2023</v>
      </c>
      <c r="C565" s="1" t="s">
        <v>2023</v>
      </c>
      <c r="D565" s="1" t="s">
        <v>2023</v>
      </c>
      <c r="E565" s="1" t="s">
        <v>24</v>
      </c>
      <c r="F565" s="1" t="s">
        <v>2059</v>
      </c>
      <c r="G565" s="1"/>
      <c r="H565" s="1" t="s">
        <v>2044</v>
      </c>
      <c r="I565" s="1"/>
      <c r="J565" s="2">
        <v>17</v>
      </c>
      <c r="K565" s="3">
        <v>42.326649000000003</v>
      </c>
      <c r="L565" s="3">
        <v>69.647469000000001</v>
      </c>
      <c r="M565" s="1" t="s">
        <v>2060</v>
      </c>
      <c r="N565" s="1" t="s">
        <v>2061</v>
      </c>
      <c r="O565" s="1" t="s">
        <v>1131</v>
      </c>
      <c r="P565" s="1" t="s">
        <v>59</v>
      </c>
      <c r="Q565" s="1" t="s">
        <v>61</v>
      </c>
      <c r="R565" s="1" t="s">
        <v>60</v>
      </c>
      <c r="S565" s="1" t="s">
        <v>1132</v>
      </c>
    </row>
    <row r="566" spans="1:19" ht="22.8">
      <c r="A566" s="1" t="s">
        <v>2062</v>
      </c>
      <c r="B566" s="1" t="s">
        <v>2023</v>
      </c>
      <c r="C566" s="1" t="s">
        <v>2023</v>
      </c>
      <c r="D566" s="1" t="s">
        <v>2023</v>
      </c>
      <c r="E566" s="1" t="s">
        <v>24</v>
      </c>
      <c r="F566" s="1" t="s">
        <v>2063</v>
      </c>
      <c r="G566" s="1"/>
      <c r="H566" s="1" t="s">
        <v>2064</v>
      </c>
      <c r="I566" s="1"/>
      <c r="J566" s="2">
        <v>17</v>
      </c>
      <c r="K566" s="3">
        <v>42.328887999999999</v>
      </c>
      <c r="L566" s="3">
        <v>69.570425999999998</v>
      </c>
      <c r="M566" s="1" t="s">
        <v>2065</v>
      </c>
      <c r="N566" s="1" t="s">
        <v>2066</v>
      </c>
      <c r="O566" s="1" t="s">
        <v>1131</v>
      </c>
      <c r="P566" s="1" t="s">
        <v>59</v>
      </c>
      <c r="Q566" s="1" t="s">
        <v>61</v>
      </c>
      <c r="R566" s="1" t="s">
        <v>60</v>
      </c>
      <c r="S566" s="1" t="s">
        <v>1132</v>
      </c>
    </row>
    <row r="567" spans="1:19">
      <c r="A567" s="1" t="s">
        <v>2067</v>
      </c>
      <c r="B567" s="1" t="s">
        <v>2023</v>
      </c>
      <c r="C567" s="1" t="s">
        <v>2023</v>
      </c>
      <c r="D567" s="1" t="s">
        <v>2023</v>
      </c>
      <c r="E567" s="1" t="s">
        <v>24</v>
      </c>
      <c r="F567" s="1" t="s">
        <v>2068</v>
      </c>
      <c r="G567" s="1"/>
      <c r="H567" s="1" t="s">
        <v>2044</v>
      </c>
      <c r="I567" s="1"/>
      <c r="J567" s="2">
        <v>17</v>
      </c>
      <c r="K567" s="3">
        <v>42.33267</v>
      </c>
      <c r="L567" s="3">
        <v>69.630486000000005</v>
      </c>
      <c r="M567" s="1" t="s">
        <v>2069</v>
      </c>
      <c r="N567" s="1" t="s">
        <v>2070</v>
      </c>
      <c r="O567" s="1" t="s">
        <v>1131</v>
      </c>
      <c r="P567" s="1" t="s">
        <v>59</v>
      </c>
      <c r="Q567" s="1" t="s">
        <v>61</v>
      </c>
      <c r="R567" s="1" t="s">
        <v>60</v>
      </c>
      <c r="S567" s="1" t="s">
        <v>1132</v>
      </c>
    </row>
    <row r="568" spans="1:19">
      <c r="A568" s="1" t="s">
        <v>2071</v>
      </c>
      <c r="B568" s="1" t="s">
        <v>2023</v>
      </c>
      <c r="C568" s="1" t="s">
        <v>2023</v>
      </c>
      <c r="D568" s="1" t="s">
        <v>2023</v>
      </c>
      <c r="E568" s="1" t="s">
        <v>24</v>
      </c>
      <c r="F568" s="1" t="s">
        <v>2072</v>
      </c>
      <c r="G568" s="1"/>
      <c r="H568" s="1" t="s">
        <v>2044</v>
      </c>
      <c r="I568" s="1"/>
      <c r="J568" s="2">
        <v>17</v>
      </c>
      <c r="K568" s="3">
        <v>42.347133999999997</v>
      </c>
      <c r="L568" s="3">
        <v>69.604308000000003</v>
      </c>
      <c r="M568" s="1" t="s">
        <v>2073</v>
      </c>
      <c r="N568" s="1" t="s">
        <v>2074</v>
      </c>
      <c r="O568" s="1" t="s">
        <v>1131</v>
      </c>
      <c r="P568" s="1" t="s">
        <v>59</v>
      </c>
      <c r="Q568" s="1" t="s">
        <v>61</v>
      </c>
      <c r="R568" s="1" t="s">
        <v>60</v>
      </c>
      <c r="S568" s="1" t="s">
        <v>1132</v>
      </c>
    </row>
    <row r="569" spans="1:19" ht="22.8">
      <c r="A569" s="1" t="s">
        <v>2075</v>
      </c>
      <c r="B569" s="1" t="s">
        <v>2023</v>
      </c>
      <c r="C569" s="1" t="s">
        <v>2023</v>
      </c>
      <c r="D569" s="1" t="s">
        <v>2023</v>
      </c>
      <c r="E569" s="1" t="s">
        <v>24</v>
      </c>
      <c r="F569" s="1" t="s">
        <v>2076</v>
      </c>
      <c r="G569" s="1"/>
      <c r="H569" s="1" t="s">
        <v>2077</v>
      </c>
      <c r="I569" s="1"/>
      <c r="J569" s="2">
        <v>17</v>
      </c>
      <c r="K569" s="3">
        <v>42.382818999999998</v>
      </c>
      <c r="L569" s="3">
        <v>69.487074000000007</v>
      </c>
      <c r="M569" s="1" t="s">
        <v>2078</v>
      </c>
      <c r="N569" s="1" t="s">
        <v>2079</v>
      </c>
      <c r="O569" s="1" t="s">
        <v>1131</v>
      </c>
      <c r="P569" s="1" t="s">
        <v>59</v>
      </c>
      <c r="Q569" s="1" t="s">
        <v>61</v>
      </c>
      <c r="R569" s="1" t="s">
        <v>60</v>
      </c>
      <c r="S569" s="1" t="s">
        <v>1132</v>
      </c>
    </row>
    <row r="570" spans="1:19" ht="22.8">
      <c r="A570" s="1" t="s">
        <v>2080</v>
      </c>
      <c r="B570" s="1" t="s">
        <v>2081</v>
      </c>
      <c r="C570" s="1" t="s">
        <v>2081</v>
      </c>
      <c r="D570" s="1" t="s">
        <v>55</v>
      </c>
      <c r="E570" s="1" t="s">
        <v>24</v>
      </c>
      <c r="F570" s="1"/>
      <c r="G570" s="1"/>
      <c r="H570" s="1"/>
      <c r="I570" s="1"/>
      <c r="J570" s="2">
        <v>1</v>
      </c>
      <c r="K570" s="3">
        <v>42.326194999999998</v>
      </c>
      <c r="L570" s="3">
        <v>69.621583000000001</v>
      </c>
      <c r="M570" s="1" t="s">
        <v>2082</v>
      </c>
      <c r="N570" s="1"/>
      <c r="O570" s="1" t="s">
        <v>1051</v>
      </c>
      <c r="P570" s="1" t="s">
        <v>59</v>
      </c>
      <c r="Q570" s="1" t="s">
        <v>61</v>
      </c>
      <c r="R570" s="1" t="s">
        <v>60</v>
      </c>
      <c r="S570" s="1" t="s">
        <v>1052</v>
      </c>
    </row>
    <row r="571" spans="1:19" ht="22.8">
      <c r="A571" s="1" t="s">
        <v>2083</v>
      </c>
      <c r="B571" s="1" t="s">
        <v>2084</v>
      </c>
      <c r="C571" s="1" t="s">
        <v>2084</v>
      </c>
      <c r="D571" s="1" t="s">
        <v>55</v>
      </c>
      <c r="E571" s="1" t="s">
        <v>24</v>
      </c>
      <c r="F571" s="1"/>
      <c r="G571" s="1"/>
      <c r="H571" s="1"/>
      <c r="I571" s="1"/>
      <c r="J571" s="2"/>
      <c r="K571" s="3">
        <v>42.278728800000003</v>
      </c>
      <c r="L571" s="3">
        <v>69.556452399999998</v>
      </c>
      <c r="M571" s="1" t="s">
        <v>2085</v>
      </c>
      <c r="N571" s="1" t="s">
        <v>2086</v>
      </c>
      <c r="O571" s="1" t="s">
        <v>58</v>
      </c>
      <c r="P571" s="1" t="s">
        <v>59</v>
      </c>
      <c r="Q571" s="1" t="s">
        <v>60</v>
      </c>
      <c r="R571" s="1" t="s">
        <v>60</v>
      </c>
      <c r="S571" s="1" t="s">
        <v>66</v>
      </c>
    </row>
    <row r="572" spans="1:19" ht="34.200000000000003">
      <c r="A572" s="1" t="s">
        <v>2087</v>
      </c>
      <c r="B572" s="1" t="s">
        <v>2088</v>
      </c>
      <c r="C572" s="1" t="s">
        <v>2088</v>
      </c>
      <c r="D572" s="1" t="s">
        <v>2088</v>
      </c>
      <c r="E572" s="1" t="s">
        <v>24</v>
      </c>
      <c r="F572" s="1" t="s">
        <v>2089</v>
      </c>
      <c r="G572" s="1"/>
      <c r="H572" s="1" t="s">
        <v>2090</v>
      </c>
      <c r="I572" s="1"/>
      <c r="J572" s="2">
        <v>7</v>
      </c>
      <c r="K572" s="3">
        <v>42.342562000000001</v>
      </c>
      <c r="L572" s="3">
        <v>69.602373999999998</v>
      </c>
      <c r="M572" s="1" t="s">
        <v>2091</v>
      </c>
      <c r="N572" s="1" t="s">
        <v>2092</v>
      </c>
      <c r="O572" s="1" t="s">
        <v>1131</v>
      </c>
      <c r="P572" s="1" t="s">
        <v>59</v>
      </c>
      <c r="Q572" s="1" t="s">
        <v>61</v>
      </c>
      <c r="R572" s="1" t="s">
        <v>60</v>
      </c>
      <c r="S572" s="1" t="s">
        <v>1132</v>
      </c>
    </row>
    <row r="573" spans="1:19" ht="22.8">
      <c r="A573" s="1" t="s">
        <v>2093</v>
      </c>
      <c r="B573" s="1" t="s">
        <v>2094</v>
      </c>
      <c r="C573" s="1" t="s">
        <v>2094</v>
      </c>
      <c r="D573" s="1" t="s">
        <v>2094</v>
      </c>
      <c r="E573" s="1" t="s">
        <v>24</v>
      </c>
      <c r="F573" s="1" t="s">
        <v>2095</v>
      </c>
      <c r="G573" s="1"/>
      <c r="H573" s="1" t="s">
        <v>2096</v>
      </c>
      <c r="I573" s="1"/>
      <c r="J573" s="2">
        <v>13</v>
      </c>
      <c r="K573" s="3">
        <v>42.327368999999997</v>
      </c>
      <c r="L573" s="3">
        <v>69.513420999999994</v>
      </c>
      <c r="M573" s="1" t="s">
        <v>2097</v>
      </c>
      <c r="N573" s="1" t="s">
        <v>2098</v>
      </c>
      <c r="O573" s="1" t="s">
        <v>1131</v>
      </c>
      <c r="P573" s="1" t="s">
        <v>59</v>
      </c>
      <c r="Q573" s="1" t="s">
        <v>61</v>
      </c>
      <c r="R573" s="1" t="s">
        <v>60</v>
      </c>
      <c r="S573" s="1" t="s">
        <v>1132</v>
      </c>
    </row>
    <row r="574" spans="1:19" ht="22.8">
      <c r="A574" s="1" t="s">
        <v>2099</v>
      </c>
      <c r="B574" s="1" t="s">
        <v>2100</v>
      </c>
      <c r="C574" s="1" t="s">
        <v>2100</v>
      </c>
      <c r="D574" s="1" t="s">
        <v>2100</v>
      </c>
      <c r="E574" s="1" t="s">
        <v>24</v>
      </c>
      <c r="F574" s="1"/>
      <c r="G574" s="1"/>
      <c r="H574" s="1" t="s">
        <v>2101</v>
      </c>
      <c r="I574" s="1"/>
      <c r="J574" s="2"/>
      <c r="K574" s="3">
        <v>42.205307300000001</v>
      </c>
      <c r="L574" s="3">
        <v>69.8090294</v>
      </c>
      <c r="M574" s="1" t="s">
        <v>2102</v>
      </c>
      <c r="N574" s="1"/>
      <c r="O574" s="1" t="s">
        <v>58</v>
      </c>
      <c r="P574" s="1" t="s">
        <v>59</v>
      </c>
      <c r="Q574" s="1" t="s">
        <v>60</v>
      </c>
      <c r="R574" s="1" t="s">
        <v>60</v>
      </c>
      <c r="S574" s="1" t="s">
        <v>62</v>
      </c>
    </row>
    <row r="575" spans="1:19" ht="22.8">
      <c r="A575" s="1" t="s">
        <v>2103</v>
      </c>
      <c r="B575" s="1" t="s">
        <v>2100</v>
      </c>
      <c r="C575" s="1" t="s">
        <v>2100</v>
      </c>
      <c r="D575" s="1" t="s">
        <v>2100</v>
      </c>
      <c r="E575" s="1" t="s">
        <v>24</v>
      </c>
      <c r="F575" s="1" t="s">
        <v>2104</v>
      </c>
      <c r="G575" s="1"/>
      <c r="H575" s="1" t="s">
        <v>2096</v>
      </c>
      <c r="I575" s="1"/>
      <c r="J575" s="2">
        <v>13</v>
      </c>
      <c r="K575" s="3">
        <v>42.289479</v>
      </c>
      <c r="L575" s="3">
        <v>69.627657999999997</v>
      </c>
      <c r="M575" s="1" t="s">
        <v>2105</v>
      </c>
      <c r="N575" s="1" t="s">
        <v>2106</v>
      </c>
      <c r="O575" s="1" t="s">
        <v>1131</v>
      </c>
      <c r="P575" s="1" t="s">
        <v>59</v>
      </c>
      <c r="Q575" s="1" t="s">
        <v>61</v>
      </c>
      <c r="R575" s="1" t="s">
        <v>60</v>
      </c>
      <c r="S575" s="1" t="s">
        <v>1132</v>
      </c>
    </row>
    <row r="576" spans="1:19" ht="22.8">
      <c r="A576" s="1" t="s">
        <v>2107</v>
      </c>
      <c r="B576" s="1" t="s">
        <v>2108</v>
      </c>
      <c r="C576" s="1" t="s">
        <v>2100</v>
      </c>
      <c r="D576" s="1" t="s">
        <v>2108</v>
      </c>
      <c r="E576" s="1" t="s">
        <v>24</v>
      </c>
      <c r="F576" s="1" t="s">
        <v>2109</v>
      </c>
      <c r="G576" s="1"/>
      <c r="H576" s="1" t="s">
        <v>2101</v>
      </c>
      <c r="I576" s="1"/>
      <c r="J576" s="2"/>
      <c r="K576" s="3">
        <v>42.303255399999998</v>
      </c>
      <c r="L576" s="3">
        <v>69.590126400000003</v>
      </c>
      <c r="M576" s="1" t="s">
        <v>2110</v>
      </c>
      <c r="N576" s="1"/>
      <c r="O576" s="1" t="s">
        <v>58</v>
      </c>
      <c r="P576" s="1" t="s">
        <v>59</v>
      </c>
      <c r="Q576" s="1" t="s">
        <v>60</v>
      </c>
      <c r="R576" s="1" t="s">
        <v>60</v>
      </c>
      <c r="S576" s="1" t="s">
        <v>62</v>
      </c>
    </row>
    <row r="577" spans="1:19" ht="22.8">
      <c r="A577" s="1" t="s">
        <v>2111</v>
      </c>
      <c r="B577" s="1" t="s">
        <v>2100</v>
      </c>
      <c r="C577" s="1" t="s">
        <v>2100</v>
      </c>
      <c r="D577" s="1" t="s">
        <v>2100</v>
      </c>
      <c r="E577" s="1" t="s">
        <v>24</v>
      </c>
      <c r="F577" s="1" t="s">
        <v>2112</v>
      </c>
      <c r="G577" s="1"/>
      <c r="H577" s="1" t="s">
        <v>2113</v>
      </c>
      <c r="I577" s="1"/>
      <c r="J577" s="2">
        <v>13</v>
      </c>
      <c r="K577" s="3">
        <v>42.323788</v>
      </c>
      <c r="L577" s="3">
        <v>69.606696999999997</v>
      </c>
      <c r="M577" s="1" t="s">
        <v>2114</v>
      </c>
      <c r="N577" s="1"/>
      <c r="O577" s="1" t="s">
        <v>1051</v>
      </c>
      <c r="P577" s="1" t="s">
        <v>59</v>
      </c>
      <c r="Q577" s="1" t="s">
        <v>61</v>
      </c>
      <c r="R577" s="1" t="s">
        <v>60</v>
      </c>
      <c r="S577" s="1" t="s">
        <v>1052</v>
      </c>
    </row>
    <row r="578" spans="1:19" ht="22.8">
      <c r="A578" s="1" t="s">
        <v>2115</v>
      </c>
      <c r="B578" s="1" t="s">
        <v>2100</v>
      </c>
      <c r="C578" s="1" t="s">
        <v>2100</v>
      </c>
      <c r="D578" s="1" t="s">
        <v>2100</v>
      </c>
      <c r="E578" s="1" t="s">
        <v>24</v>
      </c>
      <c r="F578" s="1" t="s">
        <v>2116</v>
      </c>
      <c r="G578" s="1"/>
      <c r="H578" s="1" t="s">
        <v>2113</v>
      </c>
      <c r="I578" s="1"/>
      <c r="J578" s="2">
        <v>13</v>
      </c>
      <c r="K578" s="3">
        <v>42.330683999999998</v>
      </c>
      <c r="L578" s="3">
        <v>69.566552000000001</v>
      </c>
      <c r="M578" s="1" t="s">
        <v>2117</v>
      </c>
      <c r="N578" s="1"/>
      <c r="O578" s="1" t="s">
        <v>1051</v>
      </c>
      <c r="P578" s="1" t="s">
        <v>59</v>
      </c>
      <c r="Q578" s="1" t="s">
        <v>61</v>
      </c>
      <c r="R578" s="1" t="s">
        <v>60</v>
      </c>
      <c r="S578" s="1" t="s">
        <v>1052</v>
      </c>
    </row>
    <row r="579" spans="1:19" ht="22.8">
      <c r="A579" s="1" t="s">
        <v>2118</v>
      </c>
      <c r="B579" s="1" t="s">
        <v>2100</v>
      </c>
      <c r="C579" s="1" t="s">
        <v>2100</v>
      </c>
      <c r="D579" s="1" t="s">
        <v>2100</v>
      </c>
      <c r="E579" s="1" t="s">
        <v>24</v>
      </c>
      <c r="F579" s="1" t="s">
        <v>2119</v>
      </c>
      <c r="G579" s="1"/>
      <c r="H579" s="1" t="s">
        <v>2113</v>
      </c>
      <c r="I579" s="1"/>
      <c r="J579" s="2">
        <v>16</v>
      </c>
      <c r="K579" s="3">
        <v>42.330916999999999</v>
      </c>
      <c r="L579" s="3">
        <v>69.563479000000001</v>
      </c>
      <c r="M579" s="1" t="s">
        <v>2120</v>
      </c>
      <c r="N579" s="1" t="s">
        <v>2121</v>
      </c>
      <c r="O579" s="1" t="s">
        <v>1051</v>
      </c>
      <c r="P579" s="1" t="s">
        <v>59</v>
      </c>
      <c r="Q579" s="1" t="s">
        <v>61</v>
      </c>
      <c r="R579" s="1" t="s">
        <v>60</v>
      </c>
      <c r="S579" s="1" t="s">
        <v>1052</v>
      </c>
    </row>
    <row r="580" spans="1:19" ht="22.8">
      <c r="A580" s="1" t="s">
        <v>2122</v>
      </c>
      <c r="B580" s="1" t="s">
        <v>2100</v>
      </c>
      <c r="C580" s="1" t="s">
        <v>2100</v>
      </c>
      <c r="D580" s="1" t="s">
        <v>2100</v>
      </c>
      <c r="E580" s="1" t="s">
        <v>24</v>
      </c>
      <c r="F580" s="1" t="s">
        <v>2123</v>
      </c>
      <c r="G580" s="1"/>
      <c r="H580" s="1" t="s">
        <v>2096</v>
      </c>
      <c r="I580" s="1"/>
      <c r="J580" s="2">
        <v>13</v>
      </c>
      <c r="K580" s="3">
        <v>42.334198999999998</v>
      </c>
      <c r="L580" s="3">
        <v>69.650920999999997</v>
      </c>
      <c r="M580" s="1" t="s">
        <v>2124</v>
      </c>
      <c r="N580" s="1" t="s">
        <v>2125</v>
      </c>
      <c r="O580" s="1" t="s">
        <v>1131</v>
      </c>
      <c r="P580" s="1" t="s">
        <v>59</v>
      </c>
      <c r="Q580" s="1" t="s">
        <v>61</v>
      </c>
      <c r="R580" s="1" t="s">
        <v>60</v>
      </c>
      <c r="S580" s="1" t="s">
        <v>1132</v>
      </c>
    </row>
    <row r="581" spans="1:19" ht="22.8">
      <c r="A581" s="1" t="s">
        <v>2126</v>
      </c>
      <c r="B581" s="1" t="s">
        <v>2100</v>
      </c>
      <c r="C581" s="1" t="s">
        <v>2100</v>
      </c>
      <c r="D581" s="1" t="s">
        <v>2100</v>
      </c>
      <c r="E581" s="1" t="s">
        <v>24</v>
      </c>
      <c r="F581" s="1" t="s">
        <v>2127</v>
      </c>
      <c r="G581" s="1"/>
      <c r="H581" s="1" t="s">
        <v>2096</v>
      </c>
      <c r="I581" s="1"/>
      <c r="J581" s="2">
        <v>13</v>
      </c>
      <c r="K581" s="3">
        <v>42.364165</v>
      </c>
      <c r="L581" s="3">
        <v>69.591841000000002</v>
      </c>
      <c r="M581" s="1" t="s">
        <v>2128</v>
      </c>
      <c r="N581" s="1" t="s">
        <v>2129</v>
      </c>
      <c r="O581" s="1" t="s">
        <v>1131</v>
      </c>
      <c r="P581" s="1" t="s">
        <v>59</v>
      </c>
      <c r="Q581" s="1" t="s">
        <v>61</v>
      </c>
      <c r="R581" s="1" t="s">
        <v>60</v>
      </c>
      <c r="S581" s="1" t="s">
        <v>1132</v>
      </c>
    </row>
    <row r="582" spans="1:19">
      <c r="A582" s="1" t="s">
        <v>2130</v>
      </c>
      <c r="B582" s="1" t="s">
        <v>2131</v>
      </c>
      <c r="C582" s="1" t="s">
        <v>2131</v>
      </c>
      <c r="D582" s="1" t="s">
        <v>55</v>
      </c>
      <c r="E582" s="1" t="s">
        <v>24</v>
      </c>
      <c r="F582" s="1" t="s">
        <v>2132</v>
      </c>
      <c r="G582" s="1"/>
      <c r="H582" s="1" t="s">
        <v>2133</v>
      </c>
      <c r="I582" s="1"/>
      <c r="J582" s="2">
        <v>1</v>
      </c>
      <c r="K582" s="3">
        <v>42.385069000000001</v>
      </c>
      <c r="L582" s="3">
        <v>69.482416999999998</v>
      </c>
      <c r="M582" s="1" t="s">
        <v>2134</v>
      </c>
      <c r="N582" s="1" t="s">
        <v>2135</v>
      </c>
      <c r="O582" s="1" t="s">
        <v>1131</v>
      </c>
      <c r="P582" s="1" t="s">
        <v>59</v>
      </c>
      <c r="Q582" s="1" t="s">
        <v>61</v>
      </c>
      <c r="R582" s="1" t="s">
        <v>60</v>
      </c>
      <c r="S582" s="1" t="s">
        <v>1132</v>
      </c>
    </row>
    <row r="583" spans="1:19">
      <c r="A583" s="1" t="s">
        <v>2136</v>
      </c>
      <c r="B583" s="1" t="s">
        <v>2137</v>
      </c>
      <c r="C583" s="1" t="s">
        <v>2137</v>
      </c>
      <c r="D583" s="1" t="s">
        <v>2137</v>
      </c>
      <c r="E583" s="1" t="s">
        <v>24</v>
      </c>
      <c r="F583" s="1" t="s">
        <v>2138</v>
      </c>
      <c r="G583" s="1"/>
      <c r="H583" s="1"/>
      <c r="I583" s="1"/>
      <c r="J583" s="2">
        <v>3</v>
      </c>
      <c r="K583" s="3">
        <v>42.358438</v>
      </c>
      <c r="L583" s="3">
        <v>69.723534999999998</v>
      </c>
      <c r="M583" s="1" t="s">
        <v>2139</v>
      </c>
      <c r="N583" s="1" t="s">
        <v>2140</v>
      </c>
      <c r="O583" s="1" t="s">
        <v>1131</v>
      </c>
      <c r="P583" s="1" t="s">
        <v>59</v>
      </c>
      <c r="Q583" s="1" t="s">
        <v>61</v>
      </c>
      <c r="R583" s="1" t="s">
        <v>60</v>
      </c>
      <c r="S583" s="1" t="s">
        <v>1132</v>
      </c>
    </row>
    <row r="584" spans="1:19" ht="22.8">
      <c r="A584" s="1" t="s">
        <v>2141</v>
      </c>
      <c r="B584" s="1" t="s">
        <v>2142</v>
      </c>
      <c r="C584" s="1" t="s">
        <v>2142</v>
      </c>
      <c r="D584" s="1" t="s">
        <v>2142</v>
      </c>
      <c r="E584" s="1" t="s">
        <v>24</v>
      </c>
      <c r="F584" s="1" t="s">
        <v>2143</v>
      </c>
      <c r="G584" s="1"/>
      <c r="H584" s="1" t="s">
        <v>2144</v>
      </c>
      <c r="I584" s="1"/>
      <c r="J584" s="2">
        <v>8</v>
      </c>
      <c r="K584" s="3">
        <v>42.241173000000003</v>
      </c>
      <c r="L584" s="3">
        <v>69.537741999999994</v>
      </c>
      <c r="M584" s="1" t="s">
        <v>2145</v>
      </c>
      <c r="N584" s="1"/>
      <c r="O584" s="1" t="s">
        <v>1051</v>
      </c>
      <c r="P584" s="1" t="s">
        <v>59</v>
      </c>
      <c r="Q584" s="1" t="s">
        <v>61</v>
      </c>
      <c r="R584" s="1" t="s">
        <v>60</v>
      </c>
      <c r="S584" s="1" t="s">
        <v>1052</v>
      </c>
    </row>
    <row r="585" spans="1:19">
      <c r="A585" s="1" t="s">
        <v>2146</v>
      </c>
      <c r="B585" s="1" t="s">
        <v>2142</v>
      </c>
      <c r="C585" s="1" t="s">
        <v>2142</v>
      </c>
      <c r="D585" s="1" t="s">
        <v>2142</v>
      </c>
      <c r="E585" s="1" t="s">
        <v>24</v>
      </c>
      <c r="F585" s="1" t="s">
        <v>2147</v>
      </c>
      <c r="G585" s="1"/>
      <c r="H585" s="1"/>
      <c r="I585" s="1"/>
      <c r="J585" s="2">
        <v>8</v>
      </c>
      <c r="K585" s="3">
        <v>42.328099000000002</v>
      </c>
      <c r="L585" s="3">
        <v>69.631417999999996</v>
      </c>
      <c r="M585" s="1" t="s">
        <v>2148</v>
      </c>
      <c r="N585" s="1" t="s">
        <v>2149</v>
      </c>
      <c r="O585" s="1" t="s">
        <v>1131</v>
      </c>
      <c r="P585" s="1" t="s">
        <v>59</v>
      </c>
      <c r="Q585" s="1" t="s">
        <v>61</v>
      </c>
      <c r="R585" s="1" t="s">
        <v>60</v>
      </c>
      <c r="S585" s="1" t="s">
        <v>1132</v>
      </c>
    </row>
    <row r="586" spans="1:19" ht="22.8">
      <c r="A586" s="1" t="s">
        <v>2150</v>
      </c>
      <c r="B586" s="1" t="s">
        <v>2142</v>
      </c>
      <c r="C586" s="1" t="s">
        <v>2142</v>
      </c>
      <c r="D586" s="1" t="s">
        <v>2142</v>
      </c>
      <c r="E586" s="1" t="s">
        <v>24</v>
      </c>
      <c r="F586" s="1" t="s">
        <v>2151</v>
      </c>
      <c r="G586" s="1"/>
      <c r="H586" s="1"/>
      <c r="I586" s="1"/>
      <c r="J586" s="2">
        <v>8</v>
      </c>
      <c r="K586" s="3">
        <v>42.352024999999998</v>
      </c>
      <c r="L586" s="3">
        <v>69.703851</v>
      </c>
      <c r="M586" s="1" t="s">
        <v>2152</v>
      </c>
      <c r="N586" s="1"/>
      <c r="O586" s="1" t="s">
        <v>1051</v>
      </c>
      <c r="P586" s="1" t="s">
        <v>59</v>
      </c>
      <c r="Q586" s="1" t="s">
        <v>61</v>
      </c>
      <c r="R586" s="1" t="s">
        <v>60</v>
      </c>
      <c r="S586" s="1" t="s">
        <v>1052</v>
      </c>
    </row>
    <row r="587" spans="1:19">
      <c r="A587" s="1" t="s">
        <v>2153</v>
      </c>
      <c r="B587" s="1" t="s">
        <v>2142</v>
      </c>
      <c r="C587" s="1" t="s">
        <v>2142</v>
      </c>
      <c r="D587" s="1" t="s">
        <v>2142</v>
      </c>
      <c r="E587" s="1" t="s">
        <v>24</v>
      </c>
      <c r="F587" s="1" t="s">
        <v>2154</v>
      </c>
      <c r="G587" s="1"/>
      <c r="H587" s="1"/>
      <c r="I587" s="1"/>
      <c r="J587" s="2">
        <v>8</v>
      </c>
      <c r="K587" s="3">
        <v>42.402790000000003</v>
      </c>
      <c r="L587" s="3">
        <v>69.575432000000006</v>
      </c>
      <c r="M587" s="1" t="s">
        <v>2155</v>
      </c>
      <c r="N587" s="1" t="s">
        <v>2156</v>
      </c>
      <c r="O587" s="1" t="s">
        <v>1131</v>
      </c>
      <c r="P587" s="1" t="s">
        <v>59</v>
      </c>
      <c r="Q587" s="1" t="s">
        <v>61</v>
      </c>
      <c r="R587" s="1" t="s">
        <v>60</v>
      </c>
      <c r="S587" s="1" t="s">
        <v>1132</v>
      </c>
    </row>
    <row r="588" spans="1:19" ht="22.8">
      <c r="A588" s="1" t="s">
        <v>2157</v>
      </c>
      <c r="B588" s="1" t="s">
        <v>2142</v>
      </c>
      <c r="C588" s="1" t="s">
        <v>2142</v>
      </c>
      <c r="D588" s="1" t="s">
        <v>2142</v>
      </c>
      <c r="E588" s="1" t="s">
        <v>24</v>
      </c>
      <c r="F588" s="1"/>
      <c r="G588" s="1"/>
      <c r="H588" s="1"/>
      <c r="I588" s="1"/>
      <c r="J588" s="2">
        <v>8</v>
      </c>
      <c r="K588" s="3">
        <v>42.414462</v>
      </c>
      <c r="L588" s="3">
        <v>69.677807999999999</v>
      </c>
      <c r="M588" s="1" t="s">
        <v>2158</v>
      </c>
      <c r="N588" s="1"/>
      <c r="O588" s="1" t="s">
        <v>1051</v>
      </c>
      <c r="P588" s="1" t="s">
        <v>59</v>
      </c>
      <c r="Q588" s="1" t="s">
        <v>61</v>
      </c>
      <c r="R588" s="1" t="s">
        <v>60</v>
      </c>
      <c r="S588" s="1" t="s">
        <v>1052</v>
      </c>
    </row>
    <row r="589" spans="1:19" ht="22.8">
      <c r="A589" s="1" t="s">
        <v>2159</v>
      </c>
      <c r="B589" s="1" t="s">
        <v>2160</v>
      </c>
      <c r="C589" s="1" t="s">
        <v>2160</v>
      </c>
      <c r="D589" s="1" t="s">
        <v>2160</v>
      </c>
      <c r="E589" s="1" t="s">
        <v>24</v>
      </c>
      <c r="F589" s="1"/>
      <c r="G589" s="1"/>
      <c r="H589" s="1"/>
      <c r="I589" s="1"/>
      <c r="J589" s="2"/>
      <c r="K589" s="3">
        <v>42.273870000000002</v>
      </c>
      <c r="L589" s="3">
        <v>69.554420800000003</v>
      </c>
      <c r="M589" s="1" t="s">
        <v>2161</v>
      </c>
      <c r="N589" s="1" t="s">
        <v>2162</v>
      </c>
      <c r="O589" s="1" t="s">
        <v>58</v>
      </c>
      <c r="P589" s="1" t="s">
        <v>59</v>
      </c>
      <c r="Q589" s="1" t="s">
        <v>60</v>
      </c>
      <c r="R589" s="1" t="s">
        <v>60</v>
      </c>
      <c r="S589" s="1" t="s">
        <v>66</v>
      </c>
    </row>
    <row r="590" spans="1:19" ht="102.6">
      <c r="A590" s="1" t="s">
        <v>2163</v>
      </c>
      <c r="B590" s="1" t="s">
        <v>2164</v>
      </c>
      <c r="C590" s="1" t="s">
        <v>2164</v>
      </c>
      <c r="D590" s="1" t="s">
        <v>2164</v>
      </c>
      <c r="E590" s="1" t="s">
        <v>24</v>
      </c>
      <c r="F590" s="1" t="s">
        <v>2165</v>
      </c>
      <c r="G590" s="1" t="s">
        <v>1218</v>
      </c>
      <c r="H590" s="1" t="s">
        <v>2166</v>
      </c>
      <c r="I590" s="1"/>
      <c r="J590" s="2">
        <v>7</v>
      </c>
      <c r="K590" s="3">
        <v>42.347392999999997</v>
      </c>
      <c r="L590" s="3">
        <v>69.689812000000003</v>
      </c>
      <c r="M590" s="1" t="s">
        <v>2167</v>
      </c>
      <c r="N590" s="1" t="s">
        <v>2168</v>
      </c>
      <c r="O590" s="1" t="s">
        <v>1131</v>
      </c>
      <c r="P590" s="1" t="s">
        <v>59</v>
      </c>
      <c r="Q590" s="1" t="s">
        <v>61</v>
      </c>
      <c r="R590" s="1" t="s">
        <v>60</v>
      </c>
      <c r="S590" s="1" t="s">
        <v>1132</v>
      </c>
    </row>
    <row r="591" spans="1:19" ht="22.8">
      <c r="A591" s="1" t="s">
        <v>2169</v>
      </c>
      <c r="B591" s="1" t="s">
        <v>2164</v>
      </c>
      <c r="C591" s="1" t="s">
        <v>2164</v>
      </c>
      <c r="D591" s="1" t="s">
        <v>2164</v>
      </c>
      <c r="E591" s="1" t="s">
        <v>24</v>
      </c>
      <c r="F591" s="1" t="s">
        <v>2170</v>
      </c>
      <c r="G591" s="1"/>
      <c r="H591" s="1" t="s">
        <v>2166</v>
      </c>
      <c r="I591" s="1"/>
      <c r="J591" s="2">
        <v>7</v>
      </c>
      <c r="K591" s="3">
        <v>42.347797</v>
      </c>
      <c r="L591" s="3">
        <v>69.612395000000006</v>
      </c>
      <c r="M591" s="1" t="s">
        <v>2171</v>
      </c>
      <c r="N591" s="1"/>
      <c r="O591" s="1" t="s">
        <v>1051</v>
      </c>
      <c r="P591" s="1" t="s">
        <v>59</v>
      </c>
      <c r="Q591" s="1" t="s">
        <v>61</v>
      </c>
      <c r="R591" s="1" t="s">
        <v>60</v>
      </c>
      <c r="S591" s="1" t="s">
        <v>1052</v>
      </c>
    </row>
    <row r="592" spans="1:19" ht="22.8">
      <c r="A592" s="1" t="s">
        <v>2172</v>
      </c>
      <c r="B592" s="1" t="s">
        <v>2173</v>
      </c>
      <c r="C592" s="1" t="s">
        <v>2173</v>
      </c>
      <c r="D592" s="1" t="s">
        <v>2173</v>
      </c>
      <c r="E592" s="1" t="s">
        <v>24</v>
      </c>
      <c r="F592" s="1"/>
      <c r="G592" s="1"/>
      <c r="H592" s="1" t="s">
        <v>2174</v>
      </c>
      <c r="I592" s="1"/>
      <c r="J592" s="2"/>
      <c r="K592" s="3">
        <v>42.206396300000002</v>
      </c>
      <c r="L592" s="3">
        <v>69.808711400000007</v>
      </c>
      <c r="M592" s="1" t="s">
        <v>2175</v>
      </c>
      <c r="N592" s="1"/>
      <c r="O592" s="1" t="s">
        <v>58</v>
      </c>
      <c r="P592" s="1" t="s">
        <v>59</v>
      </c>
      <c r="Q592" s="1" t="s">
        <v>60</v>
      </c>
      <c r="R592" s="1" t="s">
        <v>60</v>
      </c>
      <c r="S592" s="1" t="s">
        <v>62</v>
      </c>
    </row>
    <row r="593" spans="1:19" ht="22.8">
      <c r="A593" s="1" t="s">
        <v>2176</v>
      </c>
      <c r="B593" s="1" t="s">
        <v>2173</v>
      </c>
      <c r="C593" s="1" t="s">
        <v>2173</v>
      </c>
      <c r="D593" s="1" t="s">
        <v>2173</v>
      </c>
      <c r="E593" s="1" t="s">
        <v>24</v>
      </c>
      <c r="F593" s="1" t="s">
        <v>2177</v>
      </c>
      <c r="G593" s="1"/>
      <c r="H593" s="1" t="s">
        <v>2178</v>
      </c>
      <c r="I593" s="1"/>
      <c r="J593" s="2">
        <v>22</v>
      </c>
      <c r="K593" s="3">
        <v>42.262805</v>
      </c>
      <c r="L593" s="3">
        <v>69.548513999999997</v>
      </c>
      <c r="M593" s="1" t="s">
        <v>2179</v>
      </c>
      <c r="N593" s="1" t="s">
        <v>2180</v>
      </c>
      <c r="O593" s="1" t="s">
        <v>1131</v>
      </c>
      <c r="P593" s="1" t="s">
        <v>59</v>
      </c>
      <c r="Q593" s="1" t="s">
        <v>61</v>
      </c>
      <c r="R593" s="1" t="s">
        <v>60</v>
      </c>
      <c r="S593" s="1" t="s">
        <v>1132</v>
      </c>
    </row>
    <row r="594" spans="1:19" ht="22.8">
      <c r="A594" s="1" t="s">
        <v>2181</v>
      </c>
      <c r="B594" s="1" t="s">
        <v>2173</v>
      </c>
      <c r="C594" s="1" t="s">
        <v>2173</v>
      </c>
      <c r="D594" s="1" t="s">
        <v>2173</v>
      </c>
      <c r="E594" s="1" t="s">
        <v>24</v>
      </c>
      <c r="F594" s="1" t="s">
        <v>2182</v>
      </c>
      <c r="G594" s="1"/>
      <c r="H594" s="1" t="s">
        <v>2178</v>
      </c>
      <c r="I594" s="1"/>
      <c r="J594" s="2">
        <v>22</v>
      </c>
      <c r="K594" s="3">
        <v>42.277706000000002</v>
      </c>
      <c r="L594" s="3">
        <v>69.665582000000001</v>
      </c>
      <c r="M594" s="1" t="s">
        <v>2183</v>
      </c>
      <c r="N594" s="1" t="s">
        <v>2184</v>
      </c>
      <c r="O594" s="1" t="s">
        <v>1131</v>
      </c>
      <c r="P594" s="1" t="s">
        <v>59</v>
      </c>
      <c r="Q594" s="1" t="s">
        <v>61</v>
      </c>
      <c r="R594" s="1" t="s">
        <v>60</v>
      </c>
      <c r="S594" s="1" t="s">
        <v>1132</v>
      </c>
    </row>
    <row r="595" spans="1:19" ht="22.8">
      <c r="A595" s="1" t="s">
        <v>2185</v>
      </c>
      <c r="B595" s="1" t="s">
        <v>2173</v>
      </c>
      <c r="C595" s="1" t="s">
        <v>2173</v>
      </c>
      <c r="D595" s="1" t="s">
        <v>2173</v>
      </c>
      <c r="E595" s="1" t="s">
        <v>24</v>
      </c>
      <c r="F595" s="1" t="s">
        <v>2186</v>
      </c>
      <c r="G595" s="1"/>
      <c r="H595" s="1" t="s">
        <v>2178</v>
      </c>
      <c r="I595" s="1"/>
      <c r="J595" s="2">
        <v>22</v>
      </c>
      <c r="K595" s="3">
        <v>42.299745999999999</v>
      </c>
      <c r="L595" s="3">
        <v>69.651369000000003</v>
      </c>
      <c r="M595" s="1" t="s">
        <v>2187</v>
      </c>
      <c r="N595" s="1" t="s">
        <v>2188</v>
      </c>
      <c r="O595" s="1" t="s">
        <v>1131</v>
      </c>
      <c r="P595" s="1" t="s">
        <v>59</v>
      </c>
      <c r="Q595" s="1" t="s">
        <v>61</v>
      </c>
      <c r="R595" s="1" t="s">
        <v>60</v>
      </c>
      <c r="S595" s="1" t="s">
        <v>1132</v>
      </c>
    </row>
    <row r="596" spans="1:19" ht="22.8">
      <c r="A596" s="1" t="s">
        <v>2189</v>
      </c>
      <c r="B596" s="1" t="s">
        <v>2173</v>
      </c>
      <c r="C596" s="1" t="s">
        <v>2173</v>
      </c>
      <c r="D596" s="1" t="s">
        <v>2173</v>
      </c>
      <c r="E596" s="1" t="s">
        <v>24</v>
      </c>
      <c r="F596" s="1" t="s">
        <v>2190</v>
      </c>
      <c r="G596" s="1"/>
      <c r="H596" s="1" t="s">
        <v>2191</v>
      </c>
      <c r="I596" s="1"/>
      <c r="J596" s="2">
        <v>1</v>
      </c>
      <c r="K596" s="3">
        <v>42.306221999999998</v>
      </c>
      <c r="L596" s="3">
        <v>69.602676000000002</v>
      </c>
      <c r="M596" s="1" t="s">
        <v>2192</v>
      </c>
      <c r="N596" s="1"/>
      <c r="O596" s="1" t="s">
        <v>1051</v>
      </c>
      <c r="P596" s="1" t="s">
        <v>59</v>
      </c>
      <c r="Q596" s="1" t="s">
        <v>61</v>
      </c>
      <c r="R596" s="1" t="s">
        <v>60</v>
      </c>
      <c r="S596" s="1" t="s">
        <v>1052</v>
      </c>
    </row>
    <row r="597" spans="1:19" ht="22.8">
      <c r="A597" s="1" t="s">
        <v>2193</v>
      </c>
      <c r="B597" s="1" t="s">
        <v>2173</v>
      </c>
      <c r="C597" s="1" t="s">
        <v>2173</v>
      </c>
      <c r="D597" s="1" t="s">
        <v>2173</v>
      </c>
      <c r="E597" s="1" t="s">
        <v>24</v>
      </c>
      <c r="F597" s="1"/>
      <c r="G597" s="1"/>
      <c r="H597" s="1" t="s">
        <v>2174</v>
      </c>
      <c r="I597" s="1"/>
      <c r="J597" s="2"/>
      <c r="K597" s="3">
        <v>42.314940700000001</v>
      </c>
      <c r="L597" s="3">
        <v>69.673833799999997</v>
      </c>
      <c r="M597" s="1" t="s">
        <v>2194</v>
      </c>
      <c r="N597" s="1"/>
      <c r="O597" s="1" t="s">
        <v>58</v>
      </c>
      <c r="P597" s="1" t="s">
        <v>59</v>
      </c>
      <c r="Q597" s="1" t="s">
        <v>60</v>
      </c>
      <c r="R597" s="1" t="s">
        <v>60</v>
      </c>
      <c r="S597" s="1" t="s">
        <v>62</v>
      </c>
    </row>
    <row r="598" spans="1:19" ht="22.8">
      <c r="A598" s="1" t="s">
        <v>2195</v>
      </c>
      <c r="B598" s="1" t="s">
        <v>2173</v>
      </c>
      <c r="C598" s="1" t="s">
        <v>2173</v>
      </c>
      <c r="D598" s="1" t="s">
        <v>2173</v>
      </c>
      <c r="E598" s="1" t="s">
        <v>24</v>
      </c>
      <c r="F598" s="1"/>
      <c r="G598" s="1"/>
      <c r="H598" s="1" t="s">
        <v>2174</v>
      </c>
      <c r="I598" s="1"/>
      <c r="J598" s="2"/>
      <c r="K598" s="3">
        <v>42.316598999999997</v>
      </c>
      <c r="L598" s="3">
        <v>69.716673999999998</v>
      </c>
      <c r="M598" s="1" t="s">
        <v>2196</v>
      </c>
      <c r="N598" s="1"/>
      <c r="O598" s="1" t="s">
        <v>58</v>
      </c>
      <c r="P598" s="1" t="s">
        <v>59</v>
      </c>
      <c r="Q598" s="1" t="s">
        <v>60</v>
      </c>
      <c r="R598" s="1" t="s">
        <v>60</v>
      </c>
      <c r="S598" s="1" t="s">
        <v>62</v>
      </c>
    </row>
    <row r="599" spans="1:19" ht="22.8">
      <c r="A599" s="1" t="s">
        <v>2197</v>
      </c>
      <c r="B599" s="1" t="s">
        <v>2173</v>
      </c>
      <c r="C599" s="1" t="s">
        <v>2173</v>
      </c>
      <c r="D599" s="1" t="s">
        <v>2173</v>
      </c>
      <c r="E599" s="1" t="s">
        <v>24</v>
      </c>
      <c r="F599" s="1" t="s">
        <v>2198</v>
      </c>
      <c r="G599" s="1"/>
      <c r="H599" s="1" t="s">
        <v>2178</v>
      </c>
      <c r="I599" s="1"/>
      <c r="J599" s="2">
        <v>22</v>
      </c>
      <c r="K599" s="3">
        <v>42.334150000000001</v>
      </c>
      <c r="L599" s="3">
        <v>69.589530999999994</v>
      </c>
      <c r="M599" s="1" t="s">
        <v>2199</v>
      </c>
      <c r="N599" s="1" t="s">
        <v>2200</v>
      </c>
      <c r="O599" s="1" t="s">
        <v>1131</v>
      </c>
      <c r="P599" s="1" t="s">
        <v>59</v>
      </c>
      <c r="Q599" s="1" t="s">
        <v>61</v>
      </c>
      <c r="R599" s="1" t="s">
        <v>60</v>
      </c>
      <c r="S599" s="1" t="s">
        <v>1132</v>
      </c>
    </row>
    <row r="600" spans="1:19" ht="22.8">
      <c r="A600" s="1" t="s">
        <v>2201</v>
      </c>
      <c r="B600" s="1" t="s">
        <v>2173</v>
      </c>
      <c r="C600" s="1" t="s">
        <v>2173</v>
      </c>
      <c r="D600" s="1" t="s">
        <v>2173</v>
      </c>
      <c r="E600" s="1" t="s">
        <v>24</v>
      </c>
      <c r="F600" s="1" t="s">
        <v>2202</v>
      </c>
      <c r="G600" s="1"/>
      <c r="H600" s="1" t="s">
        <v>2178</v>
      </c>
      <c r="I600" s="1"/>
      <c r="J600" s="2">
        <v>22</v>
      </c>
      <c r="K600" s="3">
        <v>42.336613</v>
      </c>
      <c r="L600" s="3">
        <v>69.558143000000001</v>
      </c>
      <c r="M600" s="1" t="s">
        <v>2203</v>
      </c>
      <c r="N600" s="1" t="s">
        <v>2204</v>
      </c>
      <c r="O600" s="1" t="s">
        <v>1131</v>
      </c>
      <c r="P600" s="1" t="s">
        <v>59</v>
      </c>
      <c r="Q600" s="1" t="s">
        <v>61</v>
      </c>
      <c r="R600" s="1" t="s">
        <v>60</v>
      </c>
      <c r="S600" s="1" t="s">
        <v>1132</v>
      </c>
    </row>
    <row r="601" spans="1:19" ht="22.8">
      <c r="A601" s="1" t="s">
        <v>2205</v>
      </c>
      <c r="B601" s="1" t="s">
        <v>2173</v>
      </c>
      <c r="C601" s="1" t="s">
        <v>2173</v>
      </c>
      <c r="D601" s="1" t="s">
        <v>2173</v>
      </c>
      <c r="E601" s="1" t="s">
        <v>24</v>
      </c>
      <c r="F601" s="1" t="s">
        <v>2206</v>
      </c>
      <c r="G601" s="1"/>
      <c r="H601" s="1" t="s">
        <v>2178</v>
      </c>
      <c r="I601" s="1"/>
      <c r="J601" s="2">
        <v>22</v>
      </c>
      <c r="K601" s="3">
        <v>42.339657000000003</v>
      </c>
      <c r="L601" s="3">
        <v>69.634254999999996</v>
      </c>
      <c r="M601" s="1" t="s">
        <v>2207</v>
      </c>
      <c r="N601" s="1" t="s">
        <v>2208</v>
      </c>
      <c r="O601" s="1" t="s">
        <v>1131</v>
      </c>
      <c r="P601" s="1" t="s">
        <v>59</v>
      </c>
      <c r="Q601" s="1" t="s">
        <v>61</v>
      </c>
      <c r="R601" s="1" t="s">
        <v>60</v>
      </c>
      <c r="S601" s="1" t="s">
        <v>1132</v>
      </c>
    </row>
    <row r="602" spans="1:19" ht="22.8">
      <c r="A602" s="1" t="s">
        <v>2209</v>
      </c>
      <c r="B602" s="1" t="s">
        <v>2173</v>
      </c>
      <c r="C602" s="1" t="s">
        <v>2173</v>
      </c>
      <c r="D602" s="1" t="s">
        <v>2173</v>
      </c>
      <c r="E602" s="1" t="s">
        <v>24</v>
      </c>
      <c r="F602" s="1" t="s">
        <v>2210</v>
      </c>
      <c r="G602" s="1"/>
      <c r="H602" s="1" t="s">
        <v>2178</v>
      </c>
      <c r="I602" s="1"/>
      <c r="J602" s="2">
        <v>22</v>
      </c>
      <c r="K602" s="3">
        <v>42.340777000000003</v>
      </c>
      <c r="L602" s="3">
        <v>69.574634000000003</v>
      </c>
      <c r="M602" s="1" t="s">
        <v>2211</v>
      </c>
      <c r="N602" s="1" t="s">
        <v>2212</v>
      </c>
      <c r="O602" s="1" t="s">
        <v>1131</v>
      </c>
      <c r="P602" s="1" t="s">
        <v>59</v>
      </c>
      <c r="Q602" s="1" t="s">
        <v>61</v>
      </c>
      <c r="R602" s="1" t="s">
        <v>60</v>
      </c>
      <c r="S602" s="1" t="s">
        <v>1132</v>
      </c>
    </row>
    <row r="603" spans="1:19" ht="22.8">
      <c r="A603" s="1" t="s">
        <v>2213</v>
      </c>
      <c r="B603" s="1" t="s">
        <v>2173</v>
      </c>
      <c r="C603" s="1" t="s">
        <v>2173</v>
      </c>
      <c r="D603" s="1" t="s">
        <v>2173</v>
      </c>
      <c r="E603" s="1" t="s">
        <v>24</v>
      </c>
      <c r="F603" s="1" t="s">
        <v>2214</v>
      </c>
      <c r="G603" s="1"/>
      <c r="H603" s="1" t="s">
        <v>2178</v>
      </c>
      <c r="I603" s="1"/>
      <c r="J603" s="2">
        <v>22</v>
      </c>
      <c r="K603" s="3">
        <v>42.348742000000001</v>
      </c>
      <c r="L603" s="3">
        <v>69.691754000000003</v>
      </c>
      <c r="M603" s="1" t="s">
        <v>2215</v>
      </c>
      <c r="N603" s="1" t="s">
        <v>2216</v>
      </c>
      <c r="O603" s="1" t="s">
        <v>1131</v>
      </c>
      <c r="P603" s="1" t="s">
        <v>59</v>
      </c>
      <c r="Q603" s="1" t="s">
        <v>61</v>
      </c>
      <c r="R603" s="1" t="s">
        <v>60</v>
      </c>
      <c r="S603" s="1" t="s">
        <v>1132</v>
      </c>
    </row>
    <row r="604" spans="1:19" ht="22.8">
      <c r="A604" s="1" t="s">
        <v>2217</v>
      </c>
      <c r="B604" s="1" t="s">
        <v>2173</v>
      </c>
      <c r="C604" s="1" t="s">
        <v>2173</v>
      </c>
      <c r="D604" s="1" t="s">
        <v>2173</v>
      </c>
      <c r="E604" s="1" t="s">
        <v>24</v>
      </c>
      <c r="F604" s="1" t="s">
        <v>2218</v>
      </c>
      <c r="G604" s="1"/>
      <c r="H604" s="1" t="s">
        <v>2178</v>
      </c>
      <c r="I604" s="1"/>
      <c r="J604" s="2">
        <v>22</v>
      </c>
      <c r="K604" s="3">
        <v>42.352812</v>
      </c>
      <c r="L604" s="3">
        <v>69.530495999999999</v>
      </c>
      <c r="M604" s="1" t="s">
        <v>2219</v>
      </c>
      <c r="N604" s="1" t="s">
        <v>2220</v>
      </c>
      <c r="O604" s="1" t="s">
        <v>1131</v>
      </c>
      <c r="P604" s="1" t="s">
        <v>59</v>
      </c>
      <c r="Q604" s="1" t="s">
        <v>61</v>
      </c>
      <c r="R604" s="1" t="s">
        <v>60</v>
      </c>
      <c r="S604" s="1" t="s">
        <v>1132</v>
      </c>
    </row>
    <row r="605" spans="1:19" ht="22.8">
      <c r="A605" s="1" t="s">
        <v>2221</v>
      </c>
      <c r="B605" s="1" t="s">
        <v>2173</v>
      </c>
      <c r="C605" s="1" t="s">
        <v>2173</v>
      </c>
      <c r="D605" s="1" t="s">
        <v>2173</v>
      </c>
      <c r="E605" s="1" t="s">
        <v>24</v>
      </c>
      <c r="F605" s="1" t="s">
        <v>2222</v>
      </c>
      <c r="G605" s="1"/>
      <c r="H605" s="1" t="s">
        <v>2178</v>
      </c>
      <c r="I605" s="1"/>
      <c r="J605" s="2">
        <v>22</v>
      </c>
      <c r="K605" s="3">
        <v>42.371718000000001</v>
      </c>
      <c r="L605" s="3">
        <v>69.646691000000004</v>
      </c>
      <c r="M605" s="1" t="s">
        <v>2223</v>
      </c>
      <c r="N605" s="1" t="s">
        <v>2224</v>
      </c>
      <c r="O605" s="1" t="s">
        <v>1131</v>
      </c>
      <c r="P605" s="1" t="s">
        <v>59</v>
      </c>
      <c r="Q605" s="1" t="s">
        <v>61</v>
      </c>
      <c r="R605" s="1" t="s">
        <v>60</v>
      </c>
      <c r="S605" s="1" t="s">
        <v>1132</v>
      </c>
    </row>
    <row r="606" spans="1:19" ht="22.8">
      <c r="A606" s="1" t="s">
        <v>2225</v>
      </c>
      <c r="B606" s="1" t="s">
        <v>2173</v>
      </c>
      <c r="C606" s="1" t="s">
        <v>2173</v>
      </c>
      <c r="D606" s="1" t="s">
        <v>2173</v>
      </c>
      <c r="E606" s="1" t="s">
        <v>24</v>
      </c>
      <c r="F606" s="1" t="s">
        <v>2226</v>
      </c>
      <c r="G606" s="1"/>
      <c r="H606" s="1" t="s">
        <v>2178</v>
      </c>
      <c r="I606" s="1"/>
      <c r="J606" s="2">
        <v>22</v>
      </c>
      <c r="K606" s="3">
        <v>42.377237999999998</v>
      </c>
      <c r="L606" s="3">
        <v>69.603459000000001</v>
      </c>
      <c r="M606" s="1" t="s">
        <v>2227</v>
      </c>
      <c r="N606" s="1" t="s">
        <v>2228</v>
      </c>
      <c r="O606" s="1" t="s">
        <v>1131</v>
      </c>
      <c r="P606" s="1" t="s">
        <v>59</v>
      </c>
      <c r="Q606" s="1" t="s">
        <v>61</v>
      </c>
      <c r="R606" s="1" t="s">
        <v>60</v>
      </c>
      <c r="S606" s="1" t="s">
        <v>1132</v>
      </c>
    </row>
    <row r="607" spans="1:19" ht="22.8">
      <c r="A607" s="1" t="s">
        <v>2229</v>
      </c>
      <c r="B607" s="1" t="s">
        <v>2173</v>
      </c>
      <c r="C607" s="1" t="s">
        <v>2173</v>
      </c>
      <c r="D607" s="1" t="s">
        <v>2173</v>
      </c>
      <c r="E607" s="1" t="s">
        <v>24</v>
      </c>
      <c r="F607" s="1"/>
      <c r="G607" s="1"/>
      <c r="H607" s="1" t="s">
        <v>2174</v>
      </c>
      <c r="I607" s="1"/>
      <c r="J607" s="2"/>
      <c r="K607" s="3">
        <v>42.385290900000001</v>
      </c>
      <c r="L607" s="3">
        <v>69.477091000000001</v>
      </c>
      <c r="M607" s="1" t="s">
        <v>2230</v>
      </c>
      <c r="N607" s="1" t="s">
        <v>2231</v>
      </c>
      <c r="O607" s="1" t="s">
        <v>58</v>
      </c>
      <c r="P607" s="1" t="s">
        <v>59</v>
      </c>
      <c r="Q607" s="1" t="s">
        <v>60</v>
      </c>
      <c r="R607" s="1" t="s">
        <v>60</v>
      </c>
      <c r="S607" s="1" t="s">
        <v>62</v>
      </c>
    </row>
    <row r="608" spans="1:19" ht="22.8">
      <c r="A608" s="1" t="s">
        <v>2232</v>
      </c>
      <c r="B608" s="1" t="s">
        <v>2173</v>
      </c>
      <c r="C608" s="1" t="s">
        <v>2173</v>
      </c>
      <c r="D608" s="1" t="s">
        <v>2173</v>
      </c>
      <c r="E608" s="1" t="s">
        <v>24</v>
      </c>
      <c r="F608" s="1"/>
      <c r="G608" s="1"/>
      <c r="H608" s="1" t="s">
        <v>2174</v>
      </c>
      <c r="I608" s="1"/>
      <c r="J608" s="2"/>
      <c r="K608" s="3">
        <v>42.3865731</v>
      </c>
      <c r="L608" s="3">
        <v>69.775141599999998</v>
      </c>
      <c r="M608" s="1" t="s">
        <v>2233</v>
      </c>
      <c r="N608" s="1"/>
      <c r="O608" s="1" t="s">
        <v>58</v>
      </c>
      <c r="P608" s="1" t="s">
        <v>59</v>
      </c>
      <c r="Q608" s="1" t="s">
        <v>60</v>
      </c>
      <c r="R608" s="1" t="s">
        <v>60</v>
      </c>
      <c r="S608" s="1" t="s">
        <v>62</v>
      </c>
    </row>
    <row r="609" spans="1:19" ht="22.8">
      <c r="A609" s="1" t="s">
        <v>2234</v>
      </c>
      <c r="B609" s="1" t="s">
        <v>2173</v>
      </c>
      <c r="C609" s="1" t="s">
        <v>2173</v>
      </c>
      <c r="D609" s="1" t="s">
        <v>2173</v>
      </c>
      <c r="E609" s="1" t="s">
        <v>24</v>
      </c>
      <c r="F609" s="1"/>
      <c r="G609" s="1"/>
      <c r="H609" s="1" t="s">
        <v>2174</v>
      </c>
      <c r="I609" s="1"/>
      <c r="J609" s="2"/>
      <c r="K609" s="3">
        <v>42.386735999999999</v>
      </c>
      <c r="L609" s="3">
        <v>69.477374400000002</v>
      </c>
      <c r="M609" s="1" t="s">
        <v>2235</v>
      </c>
      <c r="N609" s="1"/>
      <c r="O609" s="1" t="s">
        <v>58</v>
      </c>
      <c r="P609" s="1" t="s">
        <v>59</v>
      </c>
      <c r="Q609" s="1" t="s">
        <v>60</v>
      </c>
      <c r="R609" s="1" t="s">
        <v>60</v>
      </c>
      <c r="S609" s="1" t="s">
        <v>62</v>
      </c>
    </row>
    <row r="610" spans="1:19" ht="22.8">
      <c r="A610" s="1" t="s">
        <v>2236</v>
      </c>
      <c r="B610" s="1" t="s">
        <v>2173</v>
      </c>
      <c r="C610" s="1" t="s">
        <v>2173</v>
      </c>
      <c r="D610" s="1" t="s">
        <v>2173</v>
      </c>
      <c r="E610" s="1" t="s">
        <v>24</v>
      </c>
      <c r="F610" s="1" t="s">
        <v>2237</v>
      </c>
      <c r="G610" s="1"/>
      <c r="H610" s="1" t="s">
        <v>2178</v>
      </c>
      <c r="I610" s="1"/>
      <c r="J610" s="2">
        <v>22</v>
      </c>
      <c r="K610" s="3">
        <v>42.412007000000003</v>
      </c>
      <c r="L610" s="3">
        <v>69.638334</v>
      </c>
      <c r="M610" s="1" t="s">
        <v>2238</v>
      </c>
      <c r="N610" s="1" t="s">
        <v>2239</v>
      </c>
      <c r="O610" s="1" t="s">
        <v>1131</v>
      </c>
      <c r="P610" s="1" t="s">
        <v>59</v>
      </c>
      <c r="Q610" s="1" t="s">
        <v>61</v>
      </c>
      <c r="R610" s="1" t="s">
        <v>60</v>
      </c>
      <c r="S610" s="1" t="s">
        <v>1132</v>
      </c>
    </row>
    <row r="611" spans="1:19" ht="22.8">
      <c r="A611" s="1" t="s">
        <v>2240</v>
      </c>
      <c r="B611" s="1" t="s">
        <v>2173</v>
      </c>
      <c r="C611" s="1" t="s">
        <v>2173</v>
      </c>
      <c r="D611" s="1" t="s">
        <v>2173</v>
      </c>
      <c r="E611" s="1" t="s">
        <v>24</v>
      </c>
      <c r="F611" s="1"/>
      <c r="G611" s="1"/>
      <c r="H611" s="1" t="s">
        <v>2174</v>
      </c>
      <c r="I611" s="1"/>
      <c r="J611" s="2"/>
      <c r="K611" s="3">
        <v>42.447864600000003</v>
      </c>
      <c r="L611" s="3">
        <v>69.652064999999993</v>
      </c>
      <c r="M611" s="1" t="s">
        <v>2241</v>
      </c>
      <c r="N611" s="1"/>
      <c r="O611" s="1" t="s">
        <v>58</v>
      </c>
      <c r="P611" s="1" t="s">
        <v>59</v>
      </c>
      <c r="Q611" s="1" t="s">
        <v>60</v>
      </c>
      <c r="R611" s="1" t="s">
        <v>60</v>
      </c>
      <c r="S611" s="1" t="s">
        <v>62</v>
      </c>
    </row>
    <row r="612" spans="1:19" ht="22.8">
      <c r="A612" s="1" t="s">
        <v>2242</v>
      </c>
      <c r="B612" s="1" t="s">
        <v>2243</v>
      </c>
      <c r="C612" s="1" t="s">
        <v>2243</v>
      </c>
      <c r="D612" s="1" t="s">
        <v>2243</v>
      </c>
      <c r="E612" s="1" t="s">
        <v>24</v>
      </c>
      <c r="F612" s="1" t="s">
        <v>2244</v>
      </c>
      <c r="G612" s="1"/>
      <c r="H612" s="1" t="s">
        <v>2245</v>
      </c>
      <c r="I612" s="1"/>
      <c r="J612" s="2">
        <v>12</v>
      </c>
      <c r="K612" s="3">
        <v>42.299635000000002</v>
      </c>
      <c r="L612" s="3">
        <v>69.597110999999998</v>
      </c>
      <c r="M612" s="1" t="s">
        <v>2246</v>
      </c>
      <c r="N612" s="1" t="s">
        <v>2247</v>
      </c>
      <c r="O612" s="1" t="s">
        <v>1131</v>
      </c>
      <c r="P612" s="1" t="s">
        <v>59</v>
      </c>
      <c r="Q612" s="1" t="s">
        <v>61</v>
      </c>
      <c r="R612" s="1" t="s">
        <v>60</v>
      </c>
      <c r="S612" s="1" t="s">
        <v>1132</v>
      </c>
    </row>
    <row r="613" spans="1:19" ht="22.8">
      <c r="A613" s="1" t="s">
        <v>2248</v>
      </c>
      <c r="B613" s="1" t="s">
        <v>2243</v>
      </c>
      <c r="C613" s="1" t="s">
        <v>2243</v>
      </c>
      <c r="D613" s="1" t="s">
        <v>2243</v>
      </c>
      <c r="E613" s="1" t="s">
        <v>24</v>
      </c>
      <c r="F613" s="1" t="s">
        <v>2249</v>
      </c>
      <c r="G613" s="1"/>
      <c r="H613" s="1" t="s">
        <v>2250</v>
      </c>
      <c r="I613" s="1"/>
      <c r="J613" s="2">
        <v>12</v>
      </c>
      <c r="K613" s="3">
        <v>42.300471000000002</v>
      </c>
      <c r="L613" s="3">
        <v>69.572925999999995</v>
      </c>
      <c r="M613" s="1" t="s">
        <v>2251</v>
      </c>
      <c r="N613" s="1" t="s">
        <v>2252</v>
      </c>
      <c r="O613" s="1" t="s">
        <v>1131</v>
      </c>
      <c r="P613" s="1" t="s">
        <v>59</v>
      </c>
      <c r="Q613" s="1" t="s">
        <v>61</v>
      </c>
      <c r="R613" s="1" t="s">
        <v>60</v>
      </c>
      <c r="S613" s="1" t="s">
        <v>1132</v>
      </c>
    </row>
    <row r="614" spans="1:19" ht="22.8">
      <c r="A614" s="1" t="s">
        <v>2253</v>
      </c>
      <c r="B614" s="1" t="s">
        <v>2243</v>
      </c>
      <c r="C614" s="1" t="s">
        <v>2243</v>
      </c>
      <c r="D614" s="1" t="s">
        <v>2243</v>
      </c>
      <c r="E614" s="1" t="s">
        <v>24</v>
      </c>
      <c r="F614" s="1" t="s">
        <v>2254</v>
      </c>
      <c r="G614" s="1"/>
      <c r="H614" s="1" t="s">
        <v>2255</v>
      </c>
      <c r="I614" s="1"/>
      <c r="J614" s="2">
        <v>12</v>
      </c>
      <c r="K614" s="3">
        <v>42.31532</v>
      </c>
      <c r="L614" s="3">
        <v>69.566657000000006</v>
      </c>
      <c r="M614" s="1" t="s">
        <v>2256</v>
      </c>
      <c r="N614" s="1" t="s">
        <v>2257</v>
      </c>
      <c r="O614" s="1" t="s">
        <v>1131</v>
      </c>
      <c r="P614" s="1" t="s">
        <v>59</v>
      </c>
      <c r="Q614" s="1" t="s">
        <v>61</v>
      </c>
      <c r="R614" s="1" t="s">
        <v>60</v>
      </c>
      <c r="S614" s="1" t="s">
        <v>1132</v>
      </c>
    </row>
    <row r="615" spans="1:19" ht="22.8">
      <c r="A615" s="1" t="s">
        <v>2258</v>
      </c>
      <c r="B615" s="1" t="s">
        <v>2243</v>
      </c>
      <c r="C615" s="1" t="s">
        <v>2243</v>
      </c>
      <c r="D615" s="1" t="s">
        <v>2243</v>
      </c>
      <c r="E615" s="1" t="s">
        <v>24</v>
      </c>
      <c r="F615" s="1" t="s">
        <v>2259</v>
      </c>
      <c r="G615" s="1"/>
      <c r="H615" s="1" t="s">
        <v>2260</v>
      </c>
      <c r="I615" s="1"/>
      <c r="J615" s="2">
        <v>12</v>
      </c>
      <c r="K615" s="3">
        <v>42.328645999999999</v>
      </c>
      <c r="L615" s="3">
        <v>69.572345999999996</v>
      </c>
      <c r="M615" s="1" t="s">
        <v>2261</v>
      </c>
      <c r="N615" s="1" t="s">
        <v>2262</v>
      </c>
      <c r="O615" s="1" t="s">
        <v>1131</v>
      </c>
      <c r="P615" s="1" t="s">
        <v>59</v>
      </c>
      <c r="Q615" s="1" t="s">
        <v>61</v>
      </c>
      <c r="R615" s="1" t="s">
        <v>60</v>
      </c>
      <c r="S615" s="1" t="s">
        <v>1132</v>
      </c>
    </row>
    <row r="616" spans="1:19" ht="22.8">
      <c r="A616" s="1" t="s">
        <v>2263</v>
      </c>
      <c r="B616" s="1" t="s">
        <v>2243</v>
      </c>
      <c r="C616" s="1" t="s">
        <v>2243</v>
      </c>
      <c r="D616" s="1" t="s">
        <v>2243</v>
      </c>
      <c r="E616" s="1" t="s">
        <v>24</v>
      </c>
      <c r="F616" s="1" t="s">
        <v>2264</v>
      </c>
      <c r="G616" s="1"/>
      <c r="H616" s="1" t="s">
        <v>2265</v>
      </c>
      <c r="I616" s="1"/>
      <c r="J616" s="2">
        <v>12</v>
      </c>
      <c r="K616" s="3">
        <v>42.331529000000003</v>
      </c>
      <c r="L616" s="3">
        <v>69.643399000000002</v>
      </c>
      <c r="M616" s="1" t="s">
        <v>2266</v>
      </c>
      <c r="N616" s="1" t="s">
        <v>2267</v>
      </c>
      <c r="O616" s="1" t="s">
        <v>1131</v>
      </c>
      <c r="P616" s="1" t="s">
        <v>59</v>
      </c>
      <c r="Q616" s="1" t="s">
        <v>61</v>
      </c>
      <c r="R616" s="1" t="s">
        <v>60</v>
      </c>
      <c r="S616" s="1" t="s">
        <v>1132</v>
      </c>
    </row>
    <row r="617" spans="1:19" ht="22.8">
      <c r="A617" s="1" t="s">
        <v>2268</v>
      </c>
      <c r="B617" s="1" t="s">
        <v>2243</v>
      </c>
      <c r="C617" s="1" t="s">
        <v>2243</v>
      </c>
      <c r="D617" s="1" t="s">
        <v>2243</v>
      </c>
      <c r="E617" s="1" t="s">
        <v>24</v>
      </c>
      <c r="F617" s="1" t="s">
        <v>2269</v>
      </c>
      <c r="G617" s="1"/>
      <c r="H617" s="1" t="s">
        <v>2270</v>
      </c>
      <c r="I617" s="1"/>
      <c r="J617" s="2">
        <v>12</v>
      </c>
      <c r="K617" s="3">
        <v>42.335518999999998</v>
      </c>
      <c r="L617" s="3">
        <v>69.552802</v>
      </c>
      <c r="M617" s="1" t="s">
        <v>2271</v>
      </c>
      <c r="N617" s="1" t="s">
        <v>2272</v>
      </c>
      <c r="O617" s="1" t="s">
        <v>1131</v>
      </c>
      <c r="P617" s="1" t="s">
        <v>59</v>
      </c>
      <c r="Q617" s="1" t="s">
        <v>61</v>
      </c>
      <c r="R617" s="1" t="s">
        <v>60</v>
      </c>
      <c r="S617" s="1" t="s">
        <v>1132</v>
      </c>
    </row>
    <row r="618" spans="1:19" ht="22.8">
      <c r="A618" s="1" t="s">
        <v>2273</v>
      </c>
      <c r="B618" s="1" t="s">
        <v>2243</v>
      </c>
      <c r="C618" s="1" t="s">
        <v>2243</v>
      </c>
      <c r="D618" s="1" t="s">
        <v>2243</v>
      </c>
      <c r="E618" s="1" t="s">
        <v>24</v>
      </c>
      <c r="F618" s="1" t="s">
        <v>2274</v>
      </c>
      <c r="G618" s="1"/>
      <c r="H618" s="1" t="s">
        <v>2275</v>
      </c>
      <c r="I618" s="1"/>
      <c r="J618" s="2">
        <v>12</v>
      </c>
      <c r="K618" s="3">
        <v>42.340223000000002</v>
      </c>
      <c r="L618" s="3">
        <v>69.602615999999998</v>
      </c>
      <c r="M618" s="1" t="s">
        <v>2276</v>
      </c>
      <c r="N618" s="1" t="s">
        <v>2277</v>
      </c>
      <c r="O618" s="1" t="s">
        <v>1131</v>
      </c>
      <c r="P618" s="1" t="s">
        <v>59</v>
      </c>
      <c r="Q618" s="1" t="s">
        <v>61</v>
      </c>
      <c r="R618" s="1" t="s">
        <v>60</v>
      </c>
      <c r="S618" s="1" t="s">
        <v>1132</v>
      </c>
    </row>
    <row r="619" spans="1:19">
      <c r="A619" s="1" t="s">
        <v>2278</v>
      </c>
      <c r="B619" s="1" t="s">
        <v>2243</v>
      </c>
      <c r="C619" s="1" t="s">
        <v>2243</v>
      </c>
      <c r="D619" s="1" t="s">
        <v>2243</v>
      </c>
      <c r="E619" s="1" t="s">
        <v>24</v>
      </c>
      <c r="F619" s="1" t="s">
        <v>2279</v>
      </c>
      <c r="G619" s="1"/>
      <c r="H619" s="1" t="s">
        <v>2280</v>
      </c>
      <c r="I619" s="1"/>
      <c r="J619" s="2">
        <v>12</v>
      </c>
      <c r="K619" s="3">
        <v>42.353304999999999</v>
      </c>
      <c r="L619" s="3">
        <v>69.529105000000001</v>
      </c>
      <c r="M619" s="1" t="s">
        <v>2281</v>
      </c>
      <c r="N619" s="1" t="s">
        <v>2282</v>
      </c>
      <c r="O619" s="1" t="s">
        <v>1131</v>
      </c>
      <c r="P619" s="1" t="s">
        <v>59</v>
      </c>
      <c r="Q619" s="1" t="s">
        <v>61</v>
      </c>
      <c r="R619" s="1" t="s">
        <v>60</v>
      </c>
      <c r="S619" s="1" t="s">
        <v>1132</v>
      </c>
    </row>
    <row r="620" spans="1:19" ht="22.8">
      <c r="A620" s="1" t="s">
        <v>2283</v>
      </c>
      <c r="B620" s="1" t="s">
        <v>2243</v>
      </c>
      <c r="C620" s="1" t="s">
        <v>2243</v>
      </c>
      <c r="D620" s="1" t="s">
        <v>2243</v>
      </c>
      <c r="E620" s="1" t="s">
        <v>24</v>
      </c>
      <c r="F620" s="1" t="s">
        <v>2284</v>
      </c>
      <c r="G620" s="1"/>
      <c r="H620" s="1" t="s">
        <v>2285</v>
      </c>
      <c r="I620" s="1"/>
      <c r="J620" s="2">
        <v>12</v>
      </c>
      <c r="K620" s="3">
        <v>42.373894999999997</v>
      </c>
      <c r="L620" s="3">
        <v>69.627937000000003</v>
      </c>
      <c r="M620" s="1" t="s">
        <v>2286</v>
      </c>
      <c r="N620" s="1" t="s">
        <v>2287</v>
      </c>
      <c r="O620" s="1" t="s">
        <v>1131</v>
      </c>
      <c r="P620" s="1" t="s">
        <v>59</v>
      </c>
      <c r="Q620" s="1" t="s">
        <v>61</v>
      </c>
      <c r="R620" s="1" t="s">
        <v>60</v>
      </c>
      <c r="S620" s="1" t="s">
        <v>1132</v>
      </c>
    </row>
    <row r="621" spans="1:19" ht="22.8">
      <c r="A621" s="1" t="s">
        <v>2288</v>
      </c>
      <c r="B621" s="1" t="s">
        <v>2289</v>
      </c>
      <c r="C621" s="1" t="s">
        <v>2289</v>
      </c>
      <c r="D621" s="1" t="s">
        <v>2289</v>
      </c>
      <c r="E621" s="1" t="s">
        <v>24</v>
      </c>
      <c r="F621" s="1" t="s">
        <v>2290</v>
      </c>
      <c r="G621" s="1"/>
      <c r="H621" s="1" t="s">
        <v>2291</v>
      </c>
      <c r="I621" s="1"/>
      <c r="J621" s="2">
        <v>15</v>
      </c>
      <c r="K621" s="3">
        <v>42.314914999999999</v>
      </c>
      <c r="L621" s="3">
        <v>69.665817000000004</v>
      </c>
      <c r="M621" s="1" t="s">
        <v>2292</v>
      </c>
      <c r="N621" s="1"/>
      <c r="O621" s="1" t="s">
        <v>1051</v>
      </c>
      <c r="P621" s="1" t="s">
        <v>59</v>
      </c>
      <c r="Q621" s="1" t="s">
        <v>61</v>
      </c>
      <c r="R621" s="1" t="s">
        <v>60</v>
      </c>
      <c r="S621" s="1" t="s">
        <v>1052</v>
      </c>
    </row>
    <row r="622" spans="1:19">
      <c r="A622" s="1" t="s">
        <v>2293</v>
      </c>
      <c r="B622" s="1" t="s">
        <v>2289</v>
      </c>
      <c r="C622" s="1" t="s">
        <v>2289</v>
      </c>
      <c r="D622" s="1" t="s">
        <v>2289</v>
      </c>
      <c r="E622" s="1" t="s">
        <v>24</v>
      </c>
      <c r="F622" s="1" t="s">
        <v>2294</v>
      </c>
      <c r="G622" s="1"/>
      <c r="H622" s="1" t="s">
        <v>2291</v>
      </c>
      <c r="I622" s="1"/>
      <c r="J622" s="2">
        <v>15</v>
      </c>
      <c r="K622" s="3">
        <v>42.326093</v>
      </c>
      <c r="L622" s="3">
        <v>69.625540000000001</v>
      </c>
      <c r="M622" s="1" t="s">
        <v>2295</v>
      </c>
      <c r="N622" s="1" t="s">
        <v>2296</v>
      </c>
      <c r="O622" s="1" t="s">
        <v>1131</v>
      </c>
      <c r="P622" s="1" t="s">
        <v>59</v>
      </c>
      <c r="Q622" s="1" t="s">
        <v>61</v>
      </c>
      <c r="R622" s="1" t="s">
        <v>60</v>
      </c>
      <c r="S622" s="1" t="s">
        <v>1132</v>
      </c>
    </row>
    <row r="623" spans="1:19" ht="22.8">
      <c r="A623" s="1" t="s">
        <v>2297</v>
      </c>
      <c r="B623" s="1" t="s">
        <v>2289</v>
      </c>
      <c r="C623" s="1" t="s">
        <v>2289</v>
      </c>
      <c r="D623" s="1" t="s">
        <v>2289</v>
      </c>
      <c r="E623" s="1" t="s">
        <v>24</v>
      </c>
      <c r="F623" s="1"/>
      <c r="G623" s="1"/>
      <c r="H623" s="1" t="s">
        <v>2291</v>
      </c>
      <c r="I623" s="1"/>
      <c r="J623" s="2">
        <v>15</v>
      </c>
      <c r="K623" s="3">
        <v>42.331035999999997</v>
      </c>
      <c r="L623" s="3">
        <v>69.601039999999998</v>
      </c>
      <c r="M623" s="1" t="s">
        <v>2298</v>
      </c>
      <c r="N623" s="1"/>
      <c r="O623" s="1" t="s">
        <v>1051</v>
      </c>
      <c r="P623" s="1" t="s">
        <v>59</v>
      </c>
      <c r="Q623" s="1" t="s">
        <v>61</v>
      </c>
      <c r="R623" s="1" t="s">
        <v>60</v>
      </c>
      <c r="S623" s="1" t="s">
        <v>1052</v>
      </c>
    </row>
    <row r="624" spans="1:19" ht="22.8">
      <c r="A624" s="1" t="s">
        <v>2299</v>
      </c>
      <c r="B624" s="1" t="s">
        <v>2289</v>
      </c>
      <c r="C624" s="1" t="s">
        <v>2289</v>
      </c>
      <c r="D624" s="1" t="s">
        <v>2289</v>
      </c>
      <c r="E624" s="1" t="s">
        <v>24</v>
      </c>
      <c r="F624" s="1" t="s">
        <v>2300</v>
      </c>
      <c r="G624" s="1"/>
      <c r="H624" s="1" t="s">
        <v>2291</v>
      </c>
      <c r="I624" s="1"/>
      <c r="J624" s="2">
        <v>15</v>
      </c>
      <c r="K624" s="3">
        <v>42.334662999999999</v>
      </c>
      <c r="L624" s="3">
        <v>69.649754999999999</v>
      </c>
      <c r="M624" s="1" t="s">
        <v>2301</v>
      </c>
      <c r="N624" s="1"/>
      <c r="O624" s="1" t="s">
        <v>1051</v>
      </c>
      <c r="P624" s="1" t="s">
        <v>59</v>
      </c>
      <c r="Q624" s="1" t="s">
        <v>61</v>
      </c>
      <c r="R624" s="1" t="s">
        <v>60</v>
      </c>
      <c r="S624" s="1" t="s">
        <v>1052</v>
      </c>
    </row>
    <row r="625" spans="1:19" ht="22.8">
      <c r="A625" s="1" t="s">
        <v>2302</v>
      </c>
      <c r="B625" s="1" t="s">
        <v>2303</v>
      </c>
      <c r="C625" s="1" t="s">
        <v>2303</v>
      </c>
      <c r="D625" s="1" t="s">
        <v>55</v>
      </c>
      <c r="E625" s="1" t="s">
        <v>24</v>
      </c>
      <c r="F625" s="1" t="s">
        <v>2304</v>
      </c>
      <c r="G625" s="1"/>
      <c r="H625" s="1"/>
      <c r="I625" s="1"/>
      <c r="J625" s="2">
        <v>1</v>
      </c>
      <c r="K625" s="3">
        <v>42.374026000000001</v>
      </c>
      <c r="L625" s="3">
        <v>69.626722999999998</v>
      </c>
      <c r="M625" s="1" t="s">
        <v>2305</v>
      </c>
      <c r="N625" s="1" t="s">
        <v>2306</v>
      </c>
      <c r="O625" s="1" t="s">
        <v>1131</v>
      </c>
      <c r="P625" s="1" t="s">
        <v>59</v>
      </c>
      <c r="Q625" s="1" t="s">
        <v>61</v>
      </c>
      <c r="R625" s="1" t="s">
        <v>60</v>
      </c>
      <c r="S625" s="1" t="s">
        <v>1132</v>
      </c>
    </row>
    <row r="626" spans="1:19" ht="22.8">
      <c r="A626" s="1" t="s">
        <v>2307</v>
      </c>
      <c r="B626" s="1" t="s">
        <v>2308</v>
      </c>
      <c r="C626" s="1" t="s">
        <v>2308</v>
      </c>
      <c r="D626" s="1" t="s">
        <v>2308</v>
      </c>
      <c r="E626" s="1" t="s">
        <v>26</v>
      </c>
      <c r="F626" s="1" t="s">
        <v>2309</v>
      </c>
      <c r="G626" s="1"/>
      <c r="H626" s="1"/>
      <c r="I626" s="1"/>
      <c r="J626" s="2">
        <v>16</v>
      </c>
      <c r="K626" s="3">
        <v>42.304344</v>
      </c>
      <c r="L626" s="3">
        <v>69.618644000000003</v>
      </c>
      <c r="M626" s="1" t="s">
        <v>2310</v>
      </c>
      <c r="N626" s="1"/>
      <c r="O626" s="1" t="s">
        <v>1051</v>
      </c>
      <c r="P626" s="1" t="s">
        <v>59</v>
      </c>
      <c r="Q626" s="1" t="s">
        <v>61</v>
      </c>
      <c r="R626" s="1" t="s">
        <v>60</v>
      </c>
      <c r="S626" s="1" t="s">
        <v>1052</v>
      </c>
    </row>
    <row r="627" spans="1:19" ht="22.8">
      <c r="A627" s="1" t="s">
        <v>2311</v>
      </c>
      <c r="B627" s="1" t="s">
        <v>2308</v>
      </c>
      <c r="C627" s="1" t="s">
        <v>2308</v>
      </c>
      <c r="D627" s="1" t="s">
        <v>2308</v>
      </c>
      <c r="E627" s="1" t="s">
        <v>26</v>
      </c>
      <c r="F627" s="1"/>
      <c r="G627" s="1"/>
      <c r="H627" s="1"/>
      <c r="I627" s="1"/>
      <c r="J627" s="2">
        <v>16</v>
      </c>
      <c r="K627" s="3">
        <v>42.357765999999998</v>
      </c>
      <c r="L627" s="3">
        <v>69.523499000000001</v>
      </c>
      <c r="M627" s="1" t="s">
        <v>2312</v>
      </c>
      <c r="N627" s="1"/>
      <c r="O627" s="1" t="s">
        <v>1051</v>
      </c>
      <c r="P627" s="1" t="s">
        <v>59</v>
      </c>
      <c r="Q627" s="1" t="s">
        <v>61</v>
      </c>
      <c r="R627" s="1" t="s">
        <v>60</v>
      </c>
      <c r="S627" s="1" t="s">
        <v>1052</v>
      </c>
    </row>
    <row r="628" spans="1:19" ht="22.8">
      <c r="A628" s="1" t="s">
        <v>2313</v>
      </c>
      <c r="B628" s="1" t="s">
        <v>2314</v>
      </c>
      <c r="C628" s="1" t="s">
        <v>2314</v>
      </c>
      <c r="D628" s="1" t="s">
        <v>55</v>
      </c>
      <c r="E628" s="1" t="s">
        <v>26</v>
      </c>
      <c r="F628" s="1" t="s">
        <v>2315</v>
      </c>
      <c r="G628" s="1"/>
      <c r="H628" s="1"/>
      <c r="I628" s="1"/>
      <c r="J628" s="2">
        <v>1</v>
      </c>
      <c r="K628" s="3">
        <v>42.323385999999999</v>
      </c>
      <c r="L628" s="3">
        <v>69.647852999999998</v>
      </c>
      <c r="M628" s="1" t="s">
        <v>2316</v>
      </c>
      <c r="N628" s="1"/>
      <c r="O628" s="1" t="s">
        <v>1051</v>
      </c>
      <c r="P628" s="1" t="s">
        <v>59</v>
      </c>
      <c r="Q628" s="1" t="s">
        <v>61</v>
      </c>
      <c r="R628" s="1" t="s">
        <v>60</v>
      </c>
      <c r="S628" s="1" t="s">
        <v>1052</v>
      </c>
    </row>
    <row r="629" spans="1:19" ht="22.8">
      <c r="A629" s="1" t="s">
        <v>2317</v>
      </c>
      <c r="B629" s="1" t="s">
        <v>2318</v>
      </c>
      <c r="C629" s="1" t="s">
        <v>2318</v>
      </c>
      <c r="D629" s="1" t="s">
        <v>2318</v>
      </c>
      <c r="E629" s="1" t="s">
        <v>26</v>
      </c>
      <c r="F629" s="1" t="s">
        <v>2319</v>
      </c>
      <c r="G629" s="1"/>
      <c r="H629" s="1" t="s">
        <v>2320</v>
      </c>
      <c r="I629" s="1"/>
      <c r="J629" s="2">
        <v>10</v>
      </c>
      <c r="K629" s="3">
        <v>42.280611</v>
      </c>
      <c r="L629" s="3">
        <v>69.678979999999996</v>
      </c>
      <c r="M629" s="1" t="s">
        <v>2321</v>
      </c>
      <c r="N629" s="1"/>
      <c r="O629" s="1" t="s">
        <v>1051</v>
      </c>
      <c r="P629" s="1" t="s">
        <v>59</v>
      </c>
      <c r="Q629" s="1" t="s">
        <v>61</v>
      </c>
      <c r="R629" s="1" t="s">
        <v>60</v>
      </c>
      <c r="S629" s="1" t="s">
        <v>1052</v>
      </c>
    </row>
    <row r="630" spans="1:19" ht="22.8">
      <c r="A630" s="1" t="s">
        <v>2322</v>
      </c>
      <c r="B630" s="1" t="s">
        <v>2318</v>
      </c>
      <c r="C630" s="1" t="s">
        <v>2318</v>
      </c>
      <c r="D630" s="1" t="s">
        <v>2318</v>
      </c>
      <c r="E630" s="1" t="s">
        <v>26</v>
      </c>
      <c r="F630" s="1" t="s">
        <v>2323</v>
      </c>
      <c r="G630" s="1"/>
      <c r="H630" s="1" t="s">
        <v>2320</v>
      </c>
      <c r="I630" s="1"/>
      <c r="J630" s="2">
        <v>10</v>
      </c>
      <c r="K630" s="3">
        <v>42.284011999999997</v>
      </c>
      <c r="L630" s="3">
        <v>69.668379000000002</v>
      </c>
      <c r="M630" s="1" t="s">
        <v>2324</v>
      </c>
      <c r="N630" s="1"/>
      <c r="O630" s="1" t="s">
        <v>1051</v>
      </c>
      <c r="P630" s="1" t="s">
        <v>59</v>
      </c>
      <c r="Q630" s="1" t="s">
        <v>61</v>
      </c>
      <c r="R630" s="1" t="s">
        <v>60</v>
      </c>
      <c r="S630" s="1" t="s">
        <v>1052</v>
      </c>
    </row>
    <row r="631" spans="1:19">
      <c r="A631" s="1" t="s">
        <v>2325</v>
      </c>
      <c r="B631" s="1" t="s">
        <v>2318</v>
      </c>
      <c r="C631" s="1" t="s">
        <v>2318</v>
      </c>
      <c r="D631" s="1" t="s">
        <v>2318</v>
      </c>
      <c r="E631" s="1" t="s">
        <v>26</v>
      </c>
      <c r="F631" s="1" t="s">
        <v>2326</v>
      </c>
      <c r="G631" s="1"/>
      <c r="H631" s="1" t="s">
        <v>2320</v>
      </c>
      <c r="I631" s="1"/>
      <c r="J631" s="2">
        <v>10</v>
      </c>
      <c r="K631" s="3">
        <v>42.293225</v>
      </c>
      <c r="L631" s="3">
        <v>69.620067000000006</v>
      </c>
      <c r="M631" s="1" t="s">
        <v>2327</v>
      </c>
      <c r="N631" s="1" t="s">
        <v>2328</v>
      </c>
      <c r="O631" s="1" t="s">
        <v>1131</v>
      </c>
      <c r="P631" s="1" t="s">
        <v>59</v>
      </c>
      <c r="Q631" s="1" t="s">
        <v>61</v>
      </c>
      <c r="R631" s="1" t="s">
        <v>60</v>
      </c>
      <c r="S631" s="1" t="s">
        <v>1132</v>
      </c>
    </row>
    <row r="632" spans="1:19" ht="22.8">
      <c r="A632" s="1" t="s">
        <v>2329</v>
      </c>
      <c r="B632" s="1" t="s">
        <v>2318</v>
      </c>
      <c r="C632" s="1" t="s">
        <v>2318</v>
      </c>
      <c r="D632" s="1" t="s">
        <v>2318</v>
      </c>
      <c r="E632" s="1" t="s">
        <v>26</v>
      </c>
      <c r="F632" s="1" t="s">
        <v>2330</v>
      </c>
      <c r="G632" s="1"/>
      <c r="H632" s="1" t="s">
        <v>2320</v>
      </c>
      <c r="I632" s="1"/>
      <c r="J632" s="2">
        <v>10</v>
      </c>
      <c r="K632" s="3">
        <v>42.339644999999997</v>
      </c>
      <c r="L632" s="3">
        <v>69.667975999999996</v>
      </c>
      <c r="M632" s="1" t="s">
        <v>2331</v>
      </c>
      <c r="N632" s="1"/>
      <c r="O632" s="1" t="s">
        <v>1051</v>
      </c>
      <c r="P632" s="1" t="s">
        <v>59</v>
      </c>
      <c r="Q632" s="1" t="s">
        <v>61</v>
      </c>
      <c r="R632" s="1" t="s">
        <v>60</v>
      </c>
      <c r="S632" s="1" t="s">
        <v>1052</v>
      </c>
    </row>
    <row r="633" spans="1:19" ht="22.8">
      <c r="A633" s="1" t="s">
        <v>2332</v>
      </c>
      <c r="B633" s="1" t="s">
        <v>2333</v>
      </c>
      <c r="C633" s="1" t="s">
        <v>2333</v>
      </c>
      <c r="D633" s="1" t="s">
        <v>55</v>
      </c>
      <c r="E633" s="1" t="s">
        <v>26</v>
      </c>
      <c r="F633" s="1" t="s">
        <v>1875</v>
      </c>
      <c r="G633" s="1"/>
      <c r="H633" s="1"/>
      <c r="I633" s="1"/>
      <c r="J633" s="2"/>
      <c r="K633" s="3">
        <v>42.330940300000002</v>
      </c>
      <c r="L633" s="3">
        <v>69.565734699999993</v>
      </c>
      <c r="M633" s="1" t="s">
        <v>2334</v>
      </c>
      <c r="N633" s="1"/>
      <c r="O633" s="1" t="s">
        <v>58</v>
      </c>
      <c r="P633" s="1" t="s">
        <v>59</v>
      </c>
      <c r="Q633" s="1" t="s">
        <v>60</v>
      </c>
      <c r="R633" s="1" t="s">
        <v>60</v>
      </c>
      <c r="S633" s="1" t="s">
        <v>62</v>
      </c>
    </row>
    <row r="634" spans="1:19" ht="22.8">
      <c r="A634" s="1" t="s">
        <v>2335</v>
      </c>
      <c r="B634" s="1" t="s">
        <v>1775</v>
      </c>
      <c r="C634" s="1" t="s">
        <v>1775</v>
      </c>
      <c r="D634" s="1" t="s">
        <v>1775</v>
      </c>
      <c r="E634" s="1" t="s">
        <v>26</v>
      </c>
      <c r="F634" s="1"/>
      <c r="G634" s="1"/>
      <c r="H634" s="1"/>
      <c r="I634" s="1"/>
      <c r="J634" s="2"/>
      <c r="K634" s="3">
        <v>42.303458599999999</v>
      </c>
      <c r="L634" s="3">
        <v>69.615205099999997</v>
      </c>
      <c r="M634" s="1" t="s">
        <v>2336</v>
      </c>
      <c r="N634" s="1"/>
      <c r="O634" s="1" t="s">
        <v>58</v>
      </c>
      <c r="P634" s="1" t="s">
        <v>59</v>
      </c>
      <c r="Q634" s="1" t="s">
        <v>60</v>
      </c>
      <c r="R634" s="1" t="s">
        <v>60</v>
      </c>
      <c r="S634" s="1" t="s">
        <v>66</v>
      </c>
    </row>
    <row r="635" spans="1:19" ht="22.8">
      <c r="A635" s="1" t="s">
        <v>2337</v>
      </c>
      <c r="B635" s="1" t="s">
        <v>2338</v>
      </c>
      <c r="C635" s="1" t="s">
        <v>2338</v>
      </c>
      <c r="D635" s="1" t="s">
        <v>2338</v>
      </c>
      <c r="E635" s="1" t="s">
        <v>26</v>
      </c>
      <c r="F635" s="1" t="s">
        <v>2339</v>
      </c>
      <c r="G635" s="1"/>
      <c r="H635" s="1" t="s">
        <v>2340</v>
      </c>
      <c r="I635" s="1"/>
      <c r="J635" s="2">
        <v>41</v>
      </c>
      <c r="K635" s="3">
        <v>42.279389000000002</v>
      </c>
      <c r="L635" s="3">
        <v>69.557103999999995</v>
      </c>
      <c r="M635" s="1" t="s">
        <v>2341</v>
      </c>
      <c r="N635" s="1"/>
      <c r="O635" s="1" t="s">
        <v>1051</v>
      </c>
      <c r="P635" s="1" t="s">
        <v>59</v>
      </c>
      <c r="Q635" s="1" t="s">
        <v>61</v>
      </c>
      <c r="R635" s="1" t="s">
        <v>60</v>
      </c>
      <c r="S635" s="1" t="s">
        <v>1052</v>
      </c>
    </row>
    <row r="636" spans="1:19" ht="22.8">
      <c r="A636" s="1" t="s">
        <v>2342</v>
      </c>
      <c r="B636" s="1" t="s">
        <v>2338</v>
      </c>
      <c r="C636" s="1" t="s">
        <v>2338</v>
      </c>
      <c r="D636" s="1" t="s">
        <v>2338</v>
      </c>
      <c r="E636" s="1" t="s">
        <v>26</v>
      </c>
      <c r="F636" s="1" t="s">
        <v>2343</v>
      </c>
      <c r="G636" s="1"/>
      <c r="H636" s="1" t="s">
        <v>2340</v>
      </c>
      <c r="I636" s="1"/>
      <c r="J636" s="2">
        <v>41</v>
      </c>
      <c r="K636" s="3">
        <v>42.303077999999999</v>
      </c>
      <c r="L636" s="3">
        <v>69.589602999999997</v>
      </c>
      <c r="M636" s="1" t="s">
        <v>2344</v>
      </c>
      <c r="N636" s="1"/>
      <c r="O636" s="1" t="s">
        <v>1051</v>
      </c>
      <c r="P636" s="1" t="s">
        <v>59</v>
      </c>
      <c r="Q636" s="1" t="s">
        <v>61</v>
      </c>
      <c r="R636" s="1" t="s">
        <v>60</v>
      </c>
      <c r="S636" s="1" t="s">
        <v>1052</v>
      </c>
    </row>
    <row r="637" spans="1:19" ht="22.8">
      <c r="A637" s="1" t="s">
        <v>2345</v>
      </c>
      <c r="B637" s="1" t="s">
        <v>2338</v>
      </c>
      <c r="C637" s="1" t="s">
        <v>2338</v>
      </c>
      <c r="D637" s="1" t="s">
        <v>2338</v>
      </c>
      <c r="E637" s="1" t="s">
        <v>26</v>
      </c>
      <c r="F637" s="1" t="s">
        <v>2346</v>
      </c>
      <c r="G637" s="1"/>
      <c r="H637" s="1" t="s">
        <v>2340</v>
      </c>
      <c r="I637" s="1"/>
      <c r="J637" s="2">
        <v>41</v>
      </c>
      <c r="K637" s="3">
        <v>42.315123999999997</v>
      </c>
      <c r="L637" s="3">
        <v>69.676713000000007</v>
      </c>
      <c r="M637" s="1" t="s">
        <v>2347</v>
      </c>
      <c r="N637" s="1"/>
      <c r="O637" s="1" t="s">
        <v>1051</v>
      </c>
      <c r="P637" s="1" t="s">
        <v>59</v>
      </c>
      <c r="Q637" s="1" t="s">
        <v>61</v>
      </c>
      <c r="R637" s="1" t="s">
        <v>60</v>
      </c>
      <c r="S637" s="1" t="s">
        <v>1052</v>
      </c>
    </row>
    <row r="638" spans="1:19" ht="22.8">
      <c r="A638" s="1" t="s">
        <v>2348</v>
      </c>
      <c r="B638" s="1" t="s">
        <v>2338</v>
      </c>
      <c r="C638" s="1" t="s">
        <v>2338</v>
      </c>
      <c r="D638" s="1" t="s">
        <v>2338</v>
      </c>
      <c r="E638" s="1" t="s">
        <v>26</v>
      </c>
      <c r="F638" s="1" t="s">
        <v>2349</v>
      </c>
      <c r="G638" s="1"/>
      <c r="H638" s="1" t="s">
        <v>2340</v>
      </c>
      <c r="I638" s="1"/>
      <c r="J638" s="2">
        <v>41</v>
      </c>
      <c r="K638" s="3">
        <v>42.331232999999997</v>
      </c>
      <c r="L638" s="3">
        <v>69.565764000000001</v>
      </c>
      <c r="M638" s="1" t="s">
        <v>2350</v>
      </c>
      <c r="N638" s="1"/>
      <c r="O638" s="1" t="s">
        <v>1051</v>
      </c>
      <c r="P638" s="1" t="s">
        <v>59</v>
      </c>
      <c r="Q638" s="1" t="s">
        <v>61</v>
      </c>
      <c r="R638" s="1" t="s">
        <v>60</v>
      </c>
      <c r="S638" s="1" t="s">
        <v>1052</v>
      </c>
    </row>
    <row r="639" spans="1:19">
      <c r="A639" s="1" t="s">
        <v>2351</v>
      </c>
      <c r="B639" s="1" t="s">
        <v>2338</v>
      </c>
      <c r="C639" s="1" t="s">
        <v>2338</v>
      </c>
      <c r="D639" s="1" t="s">
        <v>2338</v>
      </c>
      <c r="E639" s="1" t="s">
        <v>26</v>
      </c>
      <c r="F639" s="1" t="s">
        <v>2352</v>
      </c>
      <c r="G639" s="1"/>
      <c r="H639" s="1" t="s">
        <v>2340</v>
      </c>
      <c r="I639" s="1"/>
      <c r="J639" s="2">
        <v>41</v>
      </c>
      <c r="K639" s="3">
        <v>42.335420999999997</v>
      </c>
      <c r="L639" s="3">
        <v>69.603243000000006</v>
      </c>
      <c r="M639" s="1" t="s">
        <v>2353</v>
      </c>
      <c r="N639" s="1" t="s">
        <v>2354</v>
      </c>
      <c r="O639" s="1" t="s">
        <v>1131</v>
      </c>
      <c r="P639" s="1" t="s">
        <v>59</v>
      </c>
      <c r="Q639" s="1" t="s">
        <v>61</v>
      </c>
      <c r="R639" s="1" t="s">
        <v>60</v>
      </c>
      <c r="S639" s="1" t="s">
        <v>1132</v>
      </c>
    </row>
    <row r="640" spans="1:19" ht="22.8">
      <c r="A640" s="1" t="s">
        <v>2355</v>
      </c>
      <c r="B640" s="1" t="s">
        <v>2338</v>
      </c>
      <c r="C640" s="1" t="s">
        <v>2338</v>
      </c>
      <c r="D640" s="1" t="s">
        <v>2338</v>
      </c>
      <c r="E640" s="1" t="s">
        <v>26</v>
      </c>
      <c r="F640" s="1"/>
      <c r="G640" s="1"/>
      <c r="H640" s="1" t="s">
        <v>2340</v>
      </c>
      <c r="I640" s="1"/>
      <c r="J640" s="2">
        <v>41</v>
      </c>
      <c r="K640" s="3">
        <v>42.338655000000003</v>
      </c>
      <c r="L640" s="3">
        <v>69.641346999999996</v>
      </c>
      <c r="M640" s="1" t="s">
        <v>2356</v>
      </c>
      <c r="N640" s="1"/>
      <c r="O640" s="1" t="s">
        <v>1051</v>
      </c>
      <c r="P640" s="1" t="s">
        <v>59</v>
      </c>
      <c r="Q640" s="1" t="s">
        <v>61</v>
      </c>
      <c r="R640" s="1" t="s">
        <v>60</v>
      </c>
      <c r="S640" s="1" t="s">
        <v>1052</v>
      </c>
    </row>
    <row r="641" spans="1:19" ht="22.8">
      <c r="A641" s="1" t="s">
        <v>2357</v>
      </c>
      <c r="B641" s="1" t="s">
        <v>2338</v>
      </c>
      <c r="C641" s="1" t="s">
        <v>2338</v>
      </c>
      <c r="D641" s="1" t="s">
        <v>2338</v>
      </c>
      <c r="E641" s="1" t="s">
        <v>26</v>
      </c>
      <c r="F641" s="1" t="s">
        <v>2358</v>
      </c>
      <c r="G641" s="1"/>
      <c r="H641" s="1" t="s">
        <v>2340</v>
      </c>
      <c r="I641" s="1"/>
      <c r="J641" s="2">
        <v>41</v>
      </c>
      <c r="K641" s="3">
        <v>42.342562999999998</v>
      </c>
      <c r="L641" s="3">
        <v>69.673903999999993</v>
      </c>
      <c r="M641" s="1" t="s">
        <v>2359</v>
      </c>
      <c r="N641" s="1"/>
      <c r="O641" s="1" t="s">
        <v>1051</v>
      </c>
      <c r="P641" s="1" t="s">
        <v>59</v>
      </c>
      <c r="Q641" s="1" t="s">
        <v>61</v>
      </c>
      <c r="R641" s="1" t="s">
        <v>60</v>
      </c>
      <c r="S641" s="1" t="s">
        <v>1052</v>
      </c>
    </row>
    <row r="642" spans="1:19">
      <c r="A642" s="1" t="s">
        <v>2360</v>
      </c>
      <c r="B642" s="1" t="s">
        <v>2338</v>
      </c>
      <c r="C642" s="1" t="s">
        <v>2338</v>
      </c>
      <c r="D642" s="1" t="s">
        <v>2338</v>
      </c>
      <c r="E642" s="1" t="s">
        <v>26</v>
      </c>
      <c r="F642" s="1" t="s">
        <v>2361</v>
      </c>
      <c r="G642" s="1"/>
      <c r="H642" s="1" t="s">
        <v>2340</v>
      </c>
      <c r="I642" s="1"/>
      <c r="J642" s="2">
        <v>41</v>
      </c>
      <c r="K642" s="3">
        <v>42.351644</v>
      </c>
      <c r="L642" s="3">
        <v>69.585284999999999</v>
      </c>
      <c r="M642" s="1" t="s">
        <v>2362</v>
      </c>
      <c r="N642" s="1" t="s">
        <v>2363</v>
      </c>
      <c r="O642" s="1" t="s">
        <v>1131</v>
      </c>
      <c r="P642" s="1" t="s">
        <v>59</v>
      </c>
      <c r="Q642" s="1" t="s">
        <v>61</v>
      </c>
      <c r="R642" s="1" t="s">
        <v>60</v>
      </c>
      <c r="S642" s="1" t="s">
        <v>1132</v>
      </c>
    </row>
    <row r="643" spans="1:19" ht="22.8">
      <c r="A643" s="1" t="s">
        <v>2364</v>
      </c>
      <c r="B643" s="1" t="s">
        <v>2338</v>
      </c>
      <c r="C643" s="1" t="s">
        <v>2338</v>
      </c>
      <c r="D643" s="1" t="s">
        <v>2338</v>
      </c>
      <c r="E643" s="1" t="s">
        <v>26</v>
      </c>
      <c r="F643" s="1" t="s">
        <v>2365</v>
      </c>
      <c r="G643" s="1"/>
      <c r="H643" s="1" t="s">
        <v>2340</v>
      </c>
      <c r="I643" s="1"/>
      <c r="J643" s="2">
        <v>41</v>
      </c>
      <c r="K643" s="3">
        <v>42.358274000000002</v>
      </c>
      <c r="L643" s="3">
        <v>69.716792999999996</v>
      </c>
      <c r="M643" s="1" t="s">
        <v>2366</v>
      </c>
      <c r="N643" s="1"/>
      <c r="O643" s="1" t="s">
        <v>1051</v>
      </c>
      <c r="P643" s="1" t="s">
        <v>59</v>
      </c>
      <c r="Q643" s="1" t="s">
        <v>61</v>
      </c>
      <c r="R643" s="1" t="s">
        <v>60</v>
      </c>
      <c r="S643" s="1" t="s">
        <v>1052</v>
      </c>
    </row>
    <row r="644" spans="1:19" ht="22.8">
      <c r="A644" s="1" t="s">
        <v>2367</v>
      </c>
      <c r="B644" s="1" t="s">
        <v>2338</v>
      </c>
      <c r="C644" s="1" t="s">
        <v>2338</v>
      </c>
      <c r="D644" s="1" t="s">
        <v>2338</v>
      </c>
      <c r="E644" s="1" t="s">
        <v>26</v>
      </c>
      <c r="F644" s="1" t="s">
        <v>2368</v>
      </c>
      <c r="G644" s="1"/>
      <c r="H644" s="1" t="s">
        <v>2340</v>
      </c>
      <c r="I644" s="1"/>
      <c r="J644" s="2">
        <v>41</v>
      </c>
      <c r="K644" s="3">
        <v>42.364330000000002</v>
      </c>
      <c r="L644" s="3">
        <v>69.592173000000003</v>
      </c>
      <c r="M644" s="1" t="s">
        <v>2369</v>
      </c>
      <c r="N644" s="1"/>
      <c r="O644" s="1" t="s">
        <v>1051</v>
      </c>
      <c r="P644" s="1" t="s">
        <v>59</v>
      </c>
      <c r="Q644" s="1" t="s">
        <v>61</v>
      </c>
      <c r="R644" s="1" t="s">
        <v>60</v>
      </c>
      <c r="S644" s="1" t="s">
        <v>1052</v>
      </c>
    </row>
    <row r="645" spans="1:19">
      <c r="A645" s="1" t="s">
        <v>2370</v>
      </c>
      <c r="B645" s="1" t="s">
        <v>1852</v>
      </c>
      <c r="C645" s="1" t="s">
        <v>1852</v>
      </c>
      <c r="D645" s="1" t="s">
        <v>1852</v>
      </c>
      <c r="E645" s="1" t="s">
        <v>26</v>
      </c>
      <c r="F645" s="1"/>
      <c r="G645" s="1"/>
      <c r="H645" s="1" t="s">
        <v>1854</v>
      </c>
      <c r="I645" s="1"/>
      <c r="J645" s="2">
        <v>12</v>
      </c>
      <c r="K645" s="3">
        <v>42.295859</v>
      </c>
      <c r="L645" s="3">
        <v>69.618508000000006</v>
      </c>
      <c r="M645" s="1" t="s">
        <v>2371</v>
      </c>
      <c r="N645" s="1" t="s">
        <v>2372</v>
      </c>
      <c r="O645" s="1" t="s">
        <v>1131</v>
      </c>
      <c r="P645" s="1" t="s">
        <v>59</v>
      </c>
      <c r="Q645" s="1" t="s">
        <v>61</v>
      </c>
      <c r="R645" s="1" t="s">
        <v>60</v>
      </c>
      <c r="S645" s="1" t="s">
        <v>1132</v>
      </c>
    </row>
    <row r="646" spans="1:19">
      <c r="A646" s="1" t="s">
        <v>2373</v>
      </c>
      <c r="B646" s="1" t="s">
        <v>1852</v>
      </c>
      <c r="C646" s="1" t="s">
        <v>1852</v>
      </c>
      <c r="D646" s="1" t="s">
        <v>1852</v>
      </c>
      <c r="E646" s="1" t="s">
        <v>26</v>
      </c>
      <c r="F646" s="1" t="s">
        <v>2374</v>
      </c>
      <c r="G646" s="1"/>
      <c r="H646" s="1" t="s">
        <v>1854</v>
      </c>
      <c r="I646" s="1"/>
      <c r="J646" s="2">
        <v>12</v>
      </c>
      <c r="K646" s="3">
        <v>42.302778000000004</v>
      </c>
      <c r="L646" s="3">
        <v>69.582053999999999</v>
      </c>
      <c r="M646" s="1" t="s">
        <v>2375</v>
      </c>
      <c r="N646" s="1" t="s">
        <v>2376</v>
      </c>
      <c r="O646" s="1" t="s">
        <v>1131</v>
      </c>
      <c r="P646" s="1" t="s">
        <v>59</v>
      </c>
      <c r="Q646" s="1" t="s">
        <v>61</v>
      </c>
      <c r="R646" s="1" t="s">
        <v>60</v>
      </c>
      <c r="S646" s="1" t="s">
        <v>1132</v>
      </c>
    </row>
    <row r="647" spans="1:19" ht="22.8">
      <c r="A647" s="1" t="s">
        <v>2377</v>
      </c>
      <c r="B647" s="1" t="s">
        <v>1852</v>
      </c>
      <c r="C647" s="1" t="s">
        <v>1852</v>
      </c>
      <c r="D647" s="1" t="s">
        <v>1852</v>
      </c>
      <c r="E647" s="1" t="s">
        <v>26</v>
      </c>
      <c r="F647" s="1" t="s">
        <v>2378</v>
      </c>
      <c r="G647" s="1"/>
      <c r="H647" s="1" t="s">
        <v>1854</v>
      </c>
      <c r="I647" s="1"/>
      <c r="J647" s="2">
        <v>12</v>
      </c>
      <c r="K647" s="3">
        <v>42.352566000000003</v>
      </c>
      <c r="L647" s="3">
        <v>69.580378999999994</v>
      </c>
      <c r="M647" s="1" t="s">
        <v>2379</v>
      </c>
      <c r="N647" s="1"/>
      <c r="O647" s="1" t="s">
        <v>1051</v>
      </c>
      <c r="P647" s="1" t="s">
        <v>59</v>
      </c>
      <c r="Q647" s="1" t="s">
        <v>61</v>
      </c>
      <c r="R647" s="1" t="s">
        <v>60</v>
      </c>
      <c r="S647" s="1" t="s">
        <v>1052</v>
      </c>
    </row>
    <row r="648" spans="1:19" ht="22.8">
      <c r="A648" s="1" t="s">
        <v>2380</v>
      </c>
      <c r="B648" s="1" t="s">
        <v>861</v>
      </c>
      <c r="C648" s="1" t="s">
        <v>861</v>
      </c>
      <c r="D648" s="1" t="s">
        <v>55</v>
      </c>
      <c r="E648" s="1" t="s">
        <v>26</v>
      </c>
      <c r="F648" s="1"/>
      <c r="G648" s="1"/>
      <c r="H648" s="1"/>
      <c r="I648" s="1"/>
      <c r="J648" s="2"/>
      <c r="K648" s="3">
        <v>42.3553493</v>
      </c>
      <c r="L648" s="3">
        <v>69.526381599999993</v>
      </c>
      <c r="M648" s="1" t="s">
        <v>2381</v>
      </c>
      <c r="N648" s="1"/>
      <c r="O648" s="1" t="s">
        <v>58</v>
      </c>
      <c r="P648" s="1" t="s">
        <v>59</v>
      </c>
      <c r="Q648" s="1" t="s">
        <v>863</v>
      </c>
      <c r="R648" s="1" t="s">
        <v>60</v>
      </c>
      <c r="S648" s="1" t="s">
        <v>864</v>
      </c>
    </row>
    <row r="649" spans="1:19" ht="22.8">
      <c r="A649" s="1" t="s">
        <v>2382</v>
      </c>
      <c r="B649" s="1" t="s">
        <v>861</v>
      </c>
      <c r="C649" s="1" t="s">
        <v>861</v>
      </c>
      <c r="D649" s="1" t="s">
        <v>55</v>
      </c>
      <c r="E649" s="1" t="s">
        <v>26</v>
      </c>
      <c r="F649" s="1"/>
      <c r="G649" s="1"/>
      <c r="H649" s="1"/>
      <c r="I649" s="1"/>
      <c r="J649" s="2"/>
      <c r="K649" s="3">
        <v>42.358142800000003</v>
      </c>
      <c r="L649" s="3">
        <v>69.523559000000006</v>
      </c>
      <c r="M649" s="1" t="s">
        <v>2383</v>
      </c>
      <c r="N649" s="1"/>
      <c r="O649" s="1" t="s">
        <v>58</v>
      </c>
      <c r="P649" s="1" t="s">
        <v>59</v>
      </c>
      <c r="Q649" s="1" t="s">
        <v>863</v>
      </c>
      <c r="R649" s="1" t="s">
        <v>60</v>
      </c>
      <c r="S649" s="1" t="s">
        <v>864</v>
      </c>
    </row>
    <row r="650" spans="1:19" ht="22.8">
      <c r="A650" s="1" t="s">
        <v>2384</v>
      </c>
      <c r="B650" s="1" t="s">
        <v>2385</v>
      </c>
      <c r="C650" s="1" t="s">
        <v>2385</v>
      </c>
      <c r="D650" s="1" t="s">
        <v>2385</v>
      </c>
      <c r="E650" s="1" t="s">
        <v>26</v>
      </c>
      <c r="F650" s="1" t="s">
        <v>2386</v>
      </c>
      <c r="G650" s="1"/>
      <c r="H650" s="1"/>
      <c r="I650" s="1"/>
      <c r="J650" s="2">
        <v>7</v>
      </c>
      <c r="K650" s="3">
        <v>42.325634999999998</v>
      </c>
      <c r="L650" s="3">
        <v>69.635647000000006</v>
      </c>
      <c r="M650" s="1" t="s">
        <v>2387</v>
      </c>
      <c r="N650" s="1"/>
      <c r="O650" s="1" t="s">
        <v>1051</v>
      </c>
      <c r="P650" s="1" t="s">
        <v>59</v>
      </c>
      <c r="Q650" s="1" t="s">
        <v>61</v>
      </c>
      <c r="R650" s="1" t="s">
        <v>60</v>
      </c>
      <c r="S650" s="1" t="s">
        <v>1052</v>
      </c>
    </row>
    <row r="651" spans="1:19" ht="22.8">
      <c r="A651" s="1" t="s">
        <v>2388</v>
      </c>
      <c r="B651" s="1" t="s">
        <v>2385</v>
      </c>
      <c r="C651" s="1" t="s">
        <v>2385</v>
      </c>
      <c r="D651" s="1" t="s">
        <v>2385</v>
      </c>
      <c r="E651" s="1" t="s">
        <v>26</v>
      </c>
      <c r="F651" s="1" t="s">
        <v>2389</v>
      </c>
      <c r="G651" s="1"/>
      <c r="H651" s="1"/>
      <c r="I651" s="1"/>
      <c r="J651" s="2">
        <v>7</v>
      </c>
      <c r="K651" s="3">
        <v>42.342284999999997</v>
      </c>
      <c r="L651" s="3">
        <v>69.559770999999998</v>
      </c>
      <c r="M651" s="1" t="s">
        <v>2390</v>
      </c>
      <c r="N651" s="1"/>
      <c r="O651" s="1" t="s">
        <v>1051</v>
      </c>
      <c r="P651" s="1" t="s">
        <v>59</v>
      </c>
      <c r="Q651" s="1" t="s">
        <v>61</v>
      </c>
      <c r="R651" s="1" t="s">
        <v>60</v>
      </c>
      <c r="S651" s="1" t="s">
        <v>1052</v>
      </c>
    </row>
    <row r="652" spans="1:19">
      <c r="A652" s="1" t="s">
        <v>2391</v>
      </c>
      <c r="B652" s="1" t="s">
        <v>2385</v>
      </c>
      <c r="C652" s="1" t="s">
        <v>2385</v>
      </c>
      <c r="D652" s="1" t="s">
        <v>2385</v>
      </c>
      <c r="E652" s="1" t="s">
        <v>26</v>
      </c>
      <c r="F652" s="1" t="s">
        <v>2392</v>
      </c>
      <c r="G652" s="1"/>
      <c r="H652" s="1"/>
      <c r="I652" s="1"/>
      <c r="J652" s="2">
        <v>7</v>
      </c>
      <c r="K652" s="3">
        <v>42.395477</v>
      </c>
      <c r="L652" s="3">
        <v>69.630364999999998</v>
      </c>
      <c r="M652" s="1" t="s">
        <v>2393</v>
      </c>
      <c r="N652" s="1" t="s">
        <v>2394</v>
      </c>
      <c r="O652" s="1" t="s">
        <v>1131</v>
      </c>
      <c r="P652" s="1" t="s">
        <v>59</v>
      </c>
      <c r="Q652" s="1" t="s">
        <v>61</v>
      </c>
      <c r="R652" s="1" t="s">
        <v>60</v>
      </c>
      <c r="S652" s="1" t="s">
        <v>1132</v>
      </c>
    </row>
    <row r="653" spans="1:19" ht="22.8">
      <c r="A653" s="1" t="s">
        <v>2395</v>
      </c>
      <c r="B653" s="1" t="s">
        <v>2396</v>
      </c>
      <c r="C653" s="1" t="s">
        <v>2396</v>
      </c>
      <c r="D653" s="1" t="s">
        <v>2396</v>
      </c>
      <c r="E653" s="1" t="s">
        <v>26</v>
      </c>
      <c r="F653" s="1"/>
      <c r="G653" s="1"/>
      <c r="H653" s="1" t="s">
        <v>2397</v>
      </c>
      <c r="I653" s="1"/>
      <c r="J653" s="2"/>
      <c r="K653" s="3">
        <v>42.220776800000003</v>
      </c>
      <c r="L653" s="3">
        <v>69.799566400000003</v>
      </c>
      <c r="M653" s="1" t="s">
        <v>2398</v>
      </c>
      <c r="N653" s="1"/>
      <c r="O653" s="1" t="s">
        <v>58</v>
      </c>
      <c r="P653" s="1" t="s">
        <v>59</v>
      </c>
      <c r="Q653" s="1" t="s">
        <v>60</v>
      </c>
      <c r="R653" s="1" t="s">
        <v>60</v>
      </c>
      <c r="S653" s="1" t="s">
        <v>62</v>
      </c>
    </row>
    <row r="654" spans="1:19" ht="22.8">
      <c r="A654" s="1" t="s">
        <v>2399</v>
      </c>
      <c r="B654" s="1" t="s">
        <v>2396</v>
      </c>
      <c r="C654" s="1" t="s">
        <v>2396</v>
      </c>
      <c r="D654" s="1" t="s">
        <v>2396</v>
      </c>
      <c r="E654" s="1" t="s">
        <v>26</v>
      </c>
      <c r="F654" s="1"/>
      <c r="G654" s="1"/>
      <c r="H654" s="1" t="s">
        <v>2397</v>
      </c>
      <c r="I654" s="1"/>
      <c r="J654" s="2"/>
      <c r="K654" s="3">
        <v>42.236890299999999</v>
      </c>
      <c r="L654" s="3">
        <v>69.636599399999994</v>
      </c>
      <c r="M654" s="1" t="s">
        <v>2400</v>
      </c>
      <c r="N654" s="1"/>
      <c r="O654" s="1" t="s">
        <v>58</v>
      </c>
      <c r="P654" s="1" t="s">
        <v>59</v>
      </c>
      <c r="Q654" s="1" t="s">
        <v>60</v>
      </c>
      <c r="R654" s="1" t="s">
        <v>60</v>
      </c>
      <c r="S654" s="1" t="s">
        <v>62</v>
      </c>
    </row>
    <row r="655" spans="1:19" ht="22.8">
      <c r="A655" s="1" t="s">
        <v>2401</v>
      </c>
      <c r="B655" s="1" t="s">
        <v>2396</v>
      </c>
      <c r="C655" s="1" t="s">
        <v>2396</v>
      </c>
      <c r="D655" s="1" t="s">
        <v>2396</v>
      </c>
      <c r="E655" s="1" t="s">
        <v>26</v>
      </c>
      <c r="F655" s="1"/>
      <c r="G655" s="1"/>
      <c r="H655" s="1" t="s">
        <v>2397</v>
      </c>
      <c r="I655" s="1"/>
      <c r="J655" s="2"/>
      <c r="K655" s="3">
        <v>42.289723000000002</v>
      </c>
      <c r="L655" s="3">
        <v>69.538805999999994</v>
      </c>
      <c r="M655" s="1" t="s">
        <v>2402</v>
      </c>
      <c r="N655" s="1"/>
      <c r="O655" s="1" t="s">
        <v>58</v>
      </c>
      <c r="P655" s="1" t="s">
        <v>59</v>
      </c>
      <c r="Q655" s="1" t="s">
        <v>60</v>
      </c>
      <c r="R655" s="1" t="s">
        <v>60</v>
      </c>
      <c r="S655" s="1" t="s">
        <v>62</v>
      </c>
    </row>
    <row r="656" spans="1:19" ht="22.8">
      <c r="A656" s="1" t="s">
        <v>2403</v>
      </c>
      <c r="B656" s="1" t="s">
        <v>2396</v>
      </c>
      <c r="C656" s="1" t="s">
        <v>2396</v>
      </c>
      <c r="D656" s="1" t="s">
        <v>2396</v>
      </c>
      <c r="E656" s="1" t="s">
        <v>26</v>
      </c>
      <c r="F656" s="1"/>
      <c r="G656" s="1"/>
      <c r="H656" s="1" t="s">
        <v>2397</v>
      </c>
      <c r="I656" s="1"/>
      <c r="J656" s="2"/>
      <c r="K656" s="3">
        <v>42.293517000000001</v>
      </c>
      <c r="L656" s="3">
        <v>69.620446999999999</v>
      </c>
      <c r="M656" s="1" t="s">
        <v>2404</v>
      </c>
      <c r="N656" s="1"/>
      <c r="O656" s="1" t="s">
        <v>58</v>
      </c>
      <c r="P656" s="1" t="s">
        <v>59</v>
      </c>
      <c r="Q656" s="1" t="s">
        <v>60</v>
      </c>
      <c r="R656" s="1" t="s">
        <v>60</v>
      </c>
      <c r="S656" s="1" t="s">
        <v>62</v>
      </c>
    </row>
    <row r="657" spans="1:19" ht="22.8">
      <c r="A657" s="1" t="s">
        <v>2405</v>
      </c>
      <c r="B657" s="1" t="s">
        <v>2396</v>
      </c>
      <c r="C657" s="1" t="s">
        <v>2396</v>
      </c>
      <c r="D657" s="1" t="s">
        <v>2396</v>
      </c>
      <c r="E657" s="1" t="s">
        <v>26</v>
      </c>
      <c r="F657" s="1"/>
      <c r="G657" s="1"/>
      <c r="H657" s="1" t="s">
        <v>2397</v>
      </c>
      <c r="I657" s="1"/>
      <c r="J657" s="2"/>
      <c r="K657" s="3">
        <v>42.3045708</v>
      </c>
      <c r="L657" s="3">
        <v>69.6024764</v>
      </c>
      <c r="M657" s="1" t="s">
        <v>2406</v>
      </c>
      <c r="N657" s="1"/>
      <c r="O657" s="1" t="s">
        <v>58</v>
      </c>
      <c r="P657" s="1" t="s">
        <v>59</v>
      </c>
      <c r="Q657" s="1" t="s">
        <v>60</v>
      </c>
      <c r="R657" s="1" t="s">
        <v>60</v>
      </c>
      <c r="S657" s="1" t="s">
        <v>62</v>
      </c>
    </row>
    <row r="658" spans="1:19" ht="22.8">
      <c r="A658" s="1" t="s">
        <v>2407</v>
      </c>
      <c r="B658" s="1" t="s">
        <v>2396</v>
      </c>
      <c r="C658" s="1" t="s">
        <v>2396</v>
      </c>
      <c r="D658" s="1" t="s">
        <v>2396</v>
      </c>
      <c r="E658" s="1" t="s">
        <v>26</v>
      </c>
      <c r="F658" s="1"/>
      <c r="G658" s="1"/>
      <c r="H658" s="1" t="s">
        <v>2397</v>
      </c>
      <c r="I658" s="1"/>
      <c r="J658" s="2"/>
      <c r="K658" s="3">
        <v>42.311481499999999</v>
      </c>
      <c r="L658" s="3">
        <v>69.780108299999995</v>
      </c>
      <c r="M658" s="1" t="s">
        <v>2408</v>
      </c>
      <c r="N658" s="1" t="s">
        <v>2409</v>
      </c>
      <c r="O658" s="1" t="s">
        <v>58</v>
      </c>
      <c r="P658" s="1" t="s">
        <v>59</v>
      </c>
      <c r="Q658" s="1" t="s">
        <v>60</v>
      </c>
      <c r="R658" s="1" t="s">
        <v>60</v>
      </c>
      <c r="S658" s="1" t="s">
        <v>62</v>
      </c>
    </row>
    <row r="659" spans="1:19" ht="22.8">
      <c r="A659" s="1" t="s">
        <v>2410</v>
      </c>
      <c r="B659" s="1" t="s">
        <v>2396</v>
      </c>
      <c r="C659" s="1" t="s">
        <v>2396</v>
      </c>
      <c r="D659" s="1" t="s">
        <v>2396</v>
      </c>
      <c r="E659" s="1" t="s">
        <v>26</v>
      </c>
      <c r="F659" s="1"/>
      <c r="G659" s="1"/>
      <c r="H659" s="1" t="s">
        <v>2397</v>
      </c>
      <c r="I659" s="1"/>
      <c r="J659" s="2"/>
      <c r="K659" s="3">
        <v>42.314584000000004</v>
      </c>
      <c r="L659" s="3">
        <v>69.630795000000006</v>
      </c>
      <c r="M659" s="1" t="s">
        <v>2411</v>
      </c>
      <c r="N659" s="1"/>
      <c r="O659" s="1" t="s">
        <v>58</v>
      </c>
      <c r="P659" s="1" t="s">
        <v>59</v>
      </c>
      <c r="Q659" s="1" t="s">
        <v>60</v>
      </c>
      <c r="R659" s="1" t="s">
        <v>60</v>
      </c>
      <c r="S659" s="1" t="s">
        <v>62</v>
      </c>
    </row>
    <row r="660" spans="1:19" ht="22.8">
      <c r="A660" s="1" t="s">
        <v>2412</v>
      </c>
      <c r="B660" s="1" t="s">
        <v>2396</v>
      </c>
      <c r="C660" s="1" t="s">
        <v>2396</v>
      </c>
      <c r="D660" s="1" t="s">
        <v>2396</v>
      </c>
      <c r="E660" s="1" t="s">
        <v>26</v>
      </c>
      <c r="F660" s="1"/>
      <c r="G660" s="1"/>
      <c r="H660" s="1" t="s">
        <v>2397</v>
      </c>
      <c r="I660" s="1"/>
      <c r="J660" s="2"/>
      <c r="K660" s="3">
        <v>42.347445800000003</v>
      </c>
      <c r="L660" s="3">
        <v>69.555084399999998</v>
      </c>
      <c r="M660" s="1" t="s">
        <v>2413</v>
      </c>
      <c r="N660" s="1"/>
      <c r="O660" s="1" t="s">
        <v>58</v>
      </c>
      <c r="P660" s="1" t="s">
        <v>59</v>
      </c>
      <c r="Q660" s="1" t="s">
        <v>60</v>
      </c>
      <c r="R660" s="1" t="s">
        <v>60</v>
      </c>
      <c r="S660" s="1" t="s">
        <v>62</v>
      </c>
    </row>
    <row r="661" spans="1:19" ht="22.8">
      <c r="A661" s="1" t="s">
        <v>2414</v>
      </c>
      <c r="B661" s="1" t="s">
        <v>2396</v>
      </c>
      <c r="C661" s="1" t="s">
        <v>2396</v>
      </c>
      <c r="D661" s="1" t="s">
        <v>2396</v>
      </c>
      <c r="E661" s="1" t="s">
        <v>26</v>
      </c>
      <c r="F661" s="1"/>
      <c r="G661" s="1"/>
      <c r="H661" s="1" t="s">
        <v>2397</v>
      </c>
      <c r="I661" s="1"/>
      <c r="J661" s="2"/>
      <c r="K661" s="3">
        <v>42.354370000000003</v>
      </c>
      <c r="L661" s="3">
        <v>69.551320000000004</v>
      </c>
      <c r="M661" s="1" t="s">
        <v>2415</v>
      </c>
      <c r="N661" s="1"/>
      <c r="O661" s="1" t="s">
        <v>58</v>
      </c>
      <c r="P661" s="1" t="s">
        <v>59</v>
      </c>
      <c r="Q661" s="1" t="s">
        <v>60</v>
      </c>
      <c r="R661" s="1" t="s">
        <v>60</v>
      </c>
      <c r="S661" s="1" t="s">
        <v>62</v>
      </c>
    </row>
    <row r="662" spans="1:19" ht="22.8">
      <c r="A662" s="1" t="s">
        <v>2416</v>
      </c>
      <c r="B662" s="1" t="s">
        <v>2396</v>
      </c>
      <c r="C662" s="1" t="s">
        <v>2396</v>
      </c>
      <c r="D662" s="1" t="s">
        <v>2396</v>
      </c>
      <c r="E662" s="1" t="s">
        <v>26</v>
      </c>
      <c r="F662" s="1"/>
      <c r="G662" s="1"/>
      <c r="H662" s="1" t="s">
        <v>2397</v>
      </c>
      <c r="I662" s="1"/>
      <c r="J662" s="2"/>
      <c r="K662" s="3">
        <v>42.357140999999999</v>
      </c>
      <c r="L662" s="3">
        <v>69.617540000000005</v>
      </c>
      <c r="M662" s="1" t="s">
        <v>2417</v>
      </c>
      <c r="N662" s="1"/>
      <c r="O662" s="1" t="s">
        <v>58</v>
      </c>
      <c r="P662" s="1" t="s">
        <v>59</v>
      </c>
      <c r="Q662" s="1" t="s">
        <v>60</v>
      </c>
      <c r="R662" s="1" t="s">
        <v>60</v>
      </c>
      <c r="S662" s="1" t="s">
        <v>62</v>
      </c>
    </row>
    <row r="663" spans="1:19" ht="22.8">
      <c r="A663" s="1" t="s">
        <v>2418</v>
      </c>
      <c r="B663" s="1" t="s">
        <v>2396</v>
      </c>
      <c r="C663" s="1" t="s">
        <v>2396</v>
      </c>
      <c r="D663" s="1" t="s">
        <v>2396</v>
      </c>
      <c r="E663" s="1" t="s">
        <v>26</v>
      </c>
      <c r="F663" s="1"/>
      <c r="G663" s="1"/>
      <c r="H663" s="1" t="s">
        <v>2397</v>
      </c>
      <c r="I663" s="1"/>
      <c r="J663" s="2"/>
      <c r="K663" s="3">
        <v>42.358187000000001</v>
      </c>
      <c r="L663" s="3">
        <v>69.691637999999998</v>
      </c>
      <c r="M663" s="1" t="s">
        <v>2419</v>
      </c>
      <c r="N663" s="1"/>
      <c r="O663" s="1" t="s">
        <v>58</v>
      </c>
      <c r="P663" s="1" t="s">
        <v>59</v>
      </c>
      <c r="Q663" s="1" t="s">
        <v>60</v>
      </c>
      <c r="R663" s="1" t="s">
        <v>60</v>
      </c>
      <c r="S663" s="1" t="s">
        <v>62</v>
      </c>
    </row>
    <row r="664" spans="1:19" ht="22.8">
      <c r="A664" s="1" t="s">
        <v>2420</v>
      </c>
      <c r="B664" s="1" t="s">
        <v>2421</v>
      </c>
      <c r="C664" s="1" t="s">
        <v>2421</v>
      </c>
      <c r="D664" s="1" t="s">
        <v>2421</v>
      </c>
      <c r="E664" s="1" t="s">
        <v>26</v>
      </c>
      <c r="F664" s="1" t="s">
        <v>2422</v>
      </c>
      <c r="G664" s="1"/>
      <c r="H664" s="1" t="s">
        <v>2397</v>
      </c>
      <c r="I664" s="1"/>
      <c r="J664" s="2"/>
      <c r="K664" s="3">
        <v>42.317653999999997</v>
      </c>
      <c r="L664" s="3">
        <v>69.559818500000006</v>
      </c>
      <c r="M664" s="1" t="s">
        <v>2423</v>
      </c>
      <c r="N664" s="1" t="s">
        <v>2424</v>
      </c>
      <c r="O664" s="1" t="s">
        <v>58</v>
      </c>
      <c r="P664" s="1" t="s">
        <v>59</v>
      </c>
      <c r="Q664" s="1" t="s">
        <v>60</v>
      </c>
      <c r="R664" s="1" t="s">
        <v>60</v>
      </c>
      <c r="S664" s="1" t="s">
        <v>62</v>
      </c>
    </row>
    <row r="665" spans="1:19" ht="22.8">
      <c r="A665" s="1" t="s">
        <v>2425</v>
      </c>
      <c r="B665" s="1" t="s">
        <v>2421</v>
      </c>
      <c r="C665" s="1" t="s">
        <v>2421</v>
      </c>
      <c r="D665" s="1" t="s">
        <v>2421</v>
      </c>
      <c r="E665" s="1" t="s">
        <v>26</v>
      </c>
      <c r="F665" s="1"/>
      <c r="G665" s="1"/>
      <c r="H665" s="1" t="s">
        <v>2397</v>
      </c>
      <c r="I665" s="1"/>
      <c r="J665" s="2"/>
      <c r="K665" s="3">
        <v>42.328128800000002</v>
      </c>
      <c r="L665" s="3">
        <v>69.63109</v>
      </c>
      <c r="M665" s="1" t="s">
        <v>2426</v>
      </c>
      <c r="N665" s="1"/>
      <c r="O665" s="1" t="s">
        <v>58</v>
      </c>
      <c r="P665" s="1" t="s">
        <v>59</v>
      </c>
      <c r="Q665" s="1" t="s">
        <v>60</v>
      </c>
      <c r="R665" s="1" t="s">
        <v>60</v>
      </c>
      <c r="S665" s="1" t="s">
        <v>62</v>
      </c>
    </row>
    <row r="666" spans="1:19" ht="22.8">
      <c r="A666" s="1" t="s">
        <v>2427</v>
      </c>
      <c r="B666" s="1" t="s">
        <v>2421</v>
      </c>
      <c r="C666" s="1" t="s">
        <v>2421</v>
      </c>
      <c r="D666" s="1" t="s">
        <v>2421</v>
      </c>
      <c r="E666" s="1" t="s">
        <v>26</v>
      </c>
      <c r="F666" s="1"/>
      <c r="G666" s="1"/>
      <c r="H666" s="1" t="s">
        <v>2397</v>
      </c>
      <c r="I666" s="1"/>
      <c r="J666" s="2"/>
      <c r="K666" s="3">
        <v>42.356340000000003</v>
      </c>
      <c r="L666" s="3">
        <v>69.716678999999999</v>
      </c>
      <c r="M666" s="1" t="s">
        <v>2428</v>
      </c>
      <c r="N666" s="1"/>
      <c r="O666" s="1" t="s">
        <v>58</v>
      </c>
      <c r="P666" s="1" t="s">
        <v>59</v>
      </c>
      <c r="Q666" s="1" t="s">
        <v>60</v>
      </c>
      <c r="R666" s="1" t="s">
        <v>60</v>
      </c>
      <c r="S666" s="1" t="s">
        <v>62</v>
      </c>
    </row>
    <row r="667" spans="1:19" ht="22.8">
      <c r="A667" s="1" t="s">
        <v>2429</v>
      </c>
      <c r="B667" s="1" t="s">
        <v>2421</v>
      </c>
      <c r="C667" s="1" t="s">
        <v>2421</v>
      </c>
      <c r="D667" s="1" t="s">
        <v>2421</v>
      </c>
      <c r="E667" s="1" t="s">
        <v>26</v>
      </c>
      <c r="F667" s="1"/>
      <c r="G667" s="1"/>
      <c r="H667" s="1" t="s">
        <v>2397</v>
      </c>
      <c r="I667" s="1"/>
      <c r="J667" s="2"/>
      <c r="K667" s="3">
        <v>42.370752000000003</v>
      </c>
      <c r="L667" s="3">
        <v>69.531902000000002</v>
      </c>
      <c r="M667" s="1" t="s">
        <v>2430</v>
      </c>
      <c r="N667" s="1"/>
      <c r="O667" s="1" t="s">
        <v>58</v>
      </c>
      <c r="P667" s="1" t="s">
        <v>59</v>
      </c>
      <c r="Q667" s="1" t="s">
        <v>60</v>
      </c>
      <c r="R667" s="1" t="s">
        <v>60</v>
      </c>
      <c r="S667" s="1" t="s">
        <v>62</v>
      </c>
    </row>
    <row r="668" spans="1:19" ht="22.8">
      <c r="A668" s="1" t="s">
        <v>2431</v>
      </c>
      <c r="B668" s="1" t="s">
        <v>2421</v>
      </c>
      <c r="C668" s="1" t="s">
        <v>2421</v>
      </c>
      <c r="D668" s="1" t="s">
        <v>2421</v>
      </c>
      <c r="E668" s="1" t="s">
        <v>26</v>
      </c>
      <c r="F668" s="1"/>
      <c r="G668" s="1"/>
      <c r="H668" s="1" t="s">
        <v>2397</v>
      </c>
      <c r="I668" s="1"/>
      <c r="J668" s="2"/>
      <c r="K668" s="3">
        <v>42.3774747</v>
      </c>
      <c r="L668" s="3">
        <v>69.603678000000002</v>
      </c>
      <c r="M668" s="1" t="s">
        <v>2432</v>
      </c>
      <c r="N668" s="1"/>
      <c r="O668" s="1" t="s">
        <v>58</v>
      </c>
      <c r="P668" s="1" t="s">
        <v>59</v>
      </c>
      <c r="Q668" s="1" t="s">
        <v>60</v>
      </c>
      <c r="R668" s="1" t="s">
        <v>60</v>
      </c>
      <c r="S668" s="1" t="s">
        <v>62</v>
      </c>
    </row>
    <row r="669" spans="1:19" ht="22.8">
      <c r="A669" s="1" t="s">
        <v>2433</v>
      </c>
      <c r="B669" s="1" t="s">
        <v>2434</v>
      </c>
      <c r="C669" s="1" t="s">
        <v>2434</v>
      </c>
      <c r="D669" s="1" t="s">
        <v>2434</v>
      </c>
      <c r="E669" s="1" t="s">
        <v>26</v>
      </c>
      <c r="F669" s="1" t="s">
        <v>2435</v>
      </c>
      <c r="G669" s="1"/>
      <c r="H669" s="1" t="s">
        <v>2436</v>
      </c>
      <c r="I669" s="1"/>
      <c r="J669" s="2">
        <v>5</v>
      </c>
      <c r="K669" s="3">
        <v>42.257345999999998</v>
      </c>
      <c r="L669" s="3">
        <v>69.719149999999999</v>
      </c>
      <c r="M669" s="1" t="s">
        <v>2437</v>
      </c>
      <c r="N669" s="1" t="s">
        <v>2438</v>
      </c>
      <c r="O669" s="1" t="s">
        <v>1131</v>
      </c>
      <c r="P669" s="1" t="s">
        <v>59</v>
      </c>
      <c r="Q669" s="1" t="s">
        <v>61</v>
      </c>
      <c r="R669" s="1" t="s">
        <v>60</v>
      </c>
      <c r="S669" s="1" t="s">
        <v>1132</v>
      </c>
    </row>
    <row r="670" spans="1:19" ht="22.8">
      <c r="A670" s="1" t="s">
        <v>2439</v>
      </c>
      <c r="B670" s="1" t="s">
        <v>2434</v>
      </c>
      <c r="C670" s="1" t="s">
        <v>2434</v>
      </c>
      <c r="D670" s="1" t="s">
        <v>2434</v>
      </c>
      <c r="E670" s="1" t="s">
        <v>26</v>
      </c>
      <c r="F670" s="1" t="s">
        <v>2440</v>
      </c>
      <c r="G670" s="1"/>
      <c r="H670" s="1" t="s">
        <v>2436</v>
      </c>
      <c r="I670" s="1"/>
      <c r="J670" s="2">
        <v>5</v>
      </c>
      <c r="K670" s="3">
        <v>42.276218</v>
      </c>
      <c r="L670" s="3">
        <v>69.555578999999994</v>
      </c>
      <c r="M670" s="1" t="s">
        <v>2441</v>
      </c>
      <c r="N670" s="1" t="s">
        <v>2442</v>
      </c>
      <c r="O670" s="1" t="s">
        <v>1131</v>
      </c>
      <c r="P670" s="1" t="s">
        <v>59</v>
      </c>
      <c r="Q670" s="1" t="s">
        <v>61</v>
      </c>
      <c r="R670" s="1" t="s">
        <v>60</v>
      </c>
      <c r="S670" s="1" t="s">
        <v>1132</v>
      </c>
    </row>
    <row r="671" spans="1:19" ht="22.8">
      <c r="A671" s="1" t="s">
        <v>2443</v>
      </c>
      <c r="B671" s="1" t="s">
        <v>2434</v>
      </c>
      <c r="C671" s="1" t="s">
        <v>2434</v>
      </c>
      <c r="D671" s="1" t="s">
        <v>2434</v>
      </c>
      <c r="E671" s="1" t="s">
        <v>26</v>
      </c>
      <c r="F671" s="1" t="s">
        <v>2444</v>
      </c>
      <c r="G671" s="1"/>
      <c r="H671" s="1" t="s">
        <v>2436</v>
      </c>
      <c r="I671" s="1"/>
      <c r="J671" s="2">
        <v>5</v>
      </c>
      <c r="K671" s="3">
        <v>42.368910999999997</v>
      </c>
      <c r="L671" s="3">
        <v>69.625491999999994</v>
      </c>
      <c r="M671" s="1" t="s">
        <v>2445</v>
      </c>
      <c r="N671" s="1" t="s">
        <v>2446</v>
      </c>
      <c r="O671" s="1" t="s">
        <v>1131</v>
      </c>
      <c r="P671" s="1" t="s">
        <v>59</v>
      </c>
      <c r="Q671" s="1" t="s">
        <v>61</v>
      </c>
      <c r="R671" s="1" t="s">
        <v>60</v>
      </c>
      <c r="S671" s="1" t="s">
        <v>1132</v>
      </c>
    </row>
    <row r="672" spans="1:19" ht="22.8">
      <c r="A672" s="1" t="s">
        <v>2447</v>
      </c>
      <c r="B672" s="1" t="s">
        <v>2434</v>
      </c>
      <c r="C672" s="1" t="s">
        <v>2434</v>
      </c>
      <c r="D672" s="1" t="s">
        <v>2434</v>
      </c>
      <c r="E672" s="1" t="s">
        <v>26</v>
      </c>
      <c r="F672" s="1" t="s">
        <v>2448</v>
      </c>
      <c r="G672" s="1"/>
      <c r="H672" s="1" t="s">
        <v>2449</v>
      </c>
      <c r="I672" s="1"/>
      <c r="J672" s="2">
        <v>5</v>
      </c>
      <c r="K672" s="3">
        <v>42.384053999999999</v>
      </c>
      <c r="L672" s="3">
        <v>69.487076999999999</v>
      </c>
      <c r="M672" s="1" t="s">
        <v>2450</v>
      </c>
      <c r="N672" s="1" t="s">
        <v>2451</v>
      </c>
      <c r="O672" s="1" t="s">
        <v>1131</v>
      </c>
      <c r="P672" s="1" t="s">
        <v>59</v>
      </c>
      <c r="Q672" s="1" t="s">
        <v>61</v>
      </c>
      <c r="R672" s="1" t="s">
        <v>60</v>
      </c>
      <c r="S672" s="1" t="s">
        <v>1132</v>
      </c>
    </row>
    <row r="673" spans="1:19" ht="22.8">
      <c r="A673" s="1" t="s">
        <v>2452</v>
      </c>
      <c r="B673" s="1" t="s">
        <v>2434</v>
      </c>
      <c r="C673" s="1" t="s">
        <v>2434</v>
      </c>
      <c r="D673" s="1" t="s">
        <v>2434</v>
      </c>
      <c r="E673" s="1" t="s">
        <v>26</v>
      </c>
      <c r="F673" s="1" t="s">
        <v>2453</v>
      </c>
      <c r="G673" s="1"/>
      <c r="H673" s="1" t="s">
        <v>2436</v>
      </c>
      <c r="I673" s="1"/>
      <c r="J673" s="2">
        <v>5</v>
      </c>
      <c r="K673" s="3">
        <v>42.402484999999999</v>
      </c>
      <c r="L673" s="3">
        <v>69.572007999999997</v>
      </c>
      <c r="M673" s="1" t="s">
        <v>2454</v>
      </c>
      <c r="N673" s="1" t="s">
        <v>2455</v>
      </c>
      <c r="O673" s="1" t="s">
        <v>1131</v>
      </c>
      <c r="P673" s="1" t="s">
        <v>59</v>
      </c>
      <c r="Q673" s="1" t="s">
        <v>61</v>
      </c>
      <c r="R673" s="1" t="s">
        <v>60</v>
      </c>
      <c r="S673" s="1" t="s">
        <v>1132</v>
      </c>
    </row>
    <row r="674" spans="1:19" ht="22.8">
      <c r="A674" s="1" t="s">
        <v>2456</v>
      </c>
      <c r="B674" s="1" t="s">
        <v>2457</v>
      </c>
      <c r="C674" s="1" t="s">
        <v>2457</v>
      </c>
      <c r="D674" s="1" t="s">
        <v>55</v>
      </c>
      <c r="E674" s="1" t="s">
        <v>26</v>
      </c>
      <c r="F674" s="1" t="s">
        <v>2458</v>
      </c>
      <c r="G674" s="1"/>
      <c r="H674" s="1"/>
      <c r="I674" s="1"/>
      <c r="J674" s="2">
        <v>1</v>
      </c>
      <c r="K674" s="3">
        <v>42.373863999999998</v>
      </c>
      <c r="L674" s="3">
        <v>69.632981999999998</v>
      </c>
      <c r="M674" s="1" t="s">
        <v>2459</v>
      </c>
      <c r="N674" s="1"/>
      <c r="O674" s="1" t="s">
        <v>1051</v>
      </c>
      <c r="P674" s="1" t="s">
        <v>59</v>
      </c>
      <c r="Q674" s="1" t="s">
        <v>61</v>
      </c>
      <c r="R674" s="1" t="s">
        <v>60</v>
      </c>
      <c r="S674" s="1" t="s">
        <v>1052</v>
      </c>
    </row>
    <row r="675" spans="1:19" ht="79.8">
      <c r="A675" s="1" t="s">
        <v>2460</v>
      </c>
      <c r="B675" s="1" t="s">
        <v>1046</v>
      </c>
      <c r="C675" s="1" t="s">
        <v>1046</v>
      </c>
      <c r="D675" s="1" t="s">
        <v>55</v>
      </c>
      <c r="E675" s="1" t="s">
        <v>22</v>
      </c>
      <c r="F675" s="1" t="s">
        <v>2461</v>
      </c>
      <c r="G675" s="1" t="s">
        <v>251</v>
      </c>
      <c r="H675" s="1" t="s">
        <v>2462</v>
      </c>
      <c r="I675" s="1"/>
      <c r="J675" s="2"/>
      <c r="K675" s="3">
        <v>42.316198</v>
      </c>
      <c r="L675" s="3">
        <v>69.592967999999999</v>
      </c>
      <c r="M675" s="1" t="s">
        <v>2463</v>
      </c>
      <c r="N675" s="1" t="s">
        <v>1159</v>
      </c>
      <c r="O675" s="1" t="s">
        <v>1051</v>
      </c>
      <c r="P675" s="1" t="s">
        <v>59</v>
      </c>
      <c r="Q675" s="1" t="s">
        <v>2464</v>
      </c>
      <c r="R675" s="1" t="s">
        <v>61</v>
      </c>
      <c r="S675" s="1" t="s">
        <v>2465</v>
      </c>
    </row>
    <row r="676" spans="1:19" ht="79.8">
      <c r="A676" s="1" t="s">
        <v>2466</v>
      </c>
      <c r="B676" s="1" t="s">
        <v>1162</v>
      </c>
      <c r="C676" s="1" t="s">
        <v>1162</v>
      </c>
      <c r="D676" s="1" t="s">
        <v>1162</v>
      </c>
      <c r="E676" s="1" t="s">
        <v>27</v>
      </c>
      <c r="F676" s="1" t="s">
        <v>2467</v>
      </c>
      <c r="G676" s="1" t="s">
        <v>403</v>
      </c>
      <c r="H676" s="1" t="s">
        <v>1164</v>
      </c>
      <c r="I676" s="1" t="s">
        <v>2468</v>
      </c>
      <c r="J676" s="2">
        <v>2</v>
      </c>
      <c r="K676" s="3">
        <v>42.379105000000003</v>
      </c>
      <c r="L676" s="3">
        <v>69.614586000000003</v>
      </c>
      <c r="M676" s="1" t="s">
        <v>2469</v>
      </c>
      <c r="N676" s="1" t="s">
        <v>2470</v>
      </c>
      <c r="O676" s="1" t="s">
        <v>1065</v>
      </c>
      <c r="P676" s="1" t="s">
        <v>59</v>
      </c>
      <c r="Q676" s="1" t="s">
        <v>2464</v>
      </c>
      <c r="R676" s="1" t="s">
        <v>61</v>
      </c>
      <c r="S676" s="1" t="s">
        <v>2471</v>
      </c>
    </row>
    <row r="677" spans="1:19" ht="79.8">
      <c r="A677" s="1" t="s">
        <v>2472</v>
      </c>
      <c r="B677" s="1" t="s">
        <v>2473</v>
      </c>
      <c r="C677" s="1" t="s">
        <v>2473</v>
      </c>
      <c r="D677" s="1" t="s">
        <v>2474</v>
      </c>
      <c r="E677" s="1" t="s">
        <v>22</v>
      </c>
      <c r="F677" s="1" t="s">
        <v>2475</v>
      </c>
      <c r="G677" s="1" t="s">
        <v>1218</v>
      </c>
      <c r="H677" s="1" t="s">
        <v>2476</v>
      </c>
      <c r="I677" s="1"/>
      <c r="J677" s="2"/>
      <c r="K677" s="3">
        <v>42.389229</v>
      </c>
      <c r="L677" s="3">
        <v>69.656941000000003</v>
      </c>
      <c r="M677" s="1" t="s">
        <v>2477</v>
      </c>
      <c r="N677" s="1" t="s">
        <v>2478</v>
      </c>
      <c r="O677" s="1" t="s">
        <v>1051</v>
      </c>
      <c r="P677" s="1" t="s">
        <v>59</v>
      </c>
      <c r="Q677" s="1" t="s">
        <v>2464</v>
      </c>
      <c r="R677" s="1" t="s">
        <v>61</v>
      </c>
      <c r="S677" s="1"/>
    </row>
    <row r="678" spans="1:19" ht="79.8">
      <c r="A678" s="1" t="s">
        <v>2479</v>
      </c>
      <c r="B678" s="1" t="s">
        <v>2473</v>
      </c>
      <c r="C678" s="1" t="s">
        <v>2473</v>
      </c>
      <c r="D678" s="1" t="s">
        <v>2473</v>
      </c>
      <c r="E678" s="1" t="s">
        <v>22</v>
      </c>
      <c r="F678" s="1" t="s">
        <v>2480</v>
      </c>
      <c r="G678" s="1" t="s">
        <v>1218</v>
      </c>
      <c r="H678" s="1" t="s">
        <v>2481</v>
      </c>
      <c r="I678" s="1" t="s">
        <v>2482</v>
      </c>
      <c r="J678" s="2">
        <v>3</v>
      </c>
      <c r="K678" s="3">
        <v>42.357522000000003</v>
      </c>
      <c r="L678" s="3">
        <v>69.652488000000005</v>
      </c>
      <c r="M678" s="1" t="s">
        <v>2483</v>
      </c>
      <c r="N678" s="1" t="s">
        <v>2484</v>
      </c>
      <c r="O678" s="1" t="s">
        <v>1051</v>
      </c>
      <c r="P678" s="1" t="s">
        <v>59</v>
      </c>
      <c r="Q678" s="1" t="s">
        <v>2464</v>
      </c>
      <c r="R678" s="1" t="s">
        <v>61</v>
      </c>
      <c r="S678" s="1" t="s">
        <v>2465</v>
      </c>
    </row>
    <row r="679" spans="1:19" ht="79.8">
      <c r="A679" s="1" t="s">
        <v>2485</v>
      </c>
      <c r="B679" s="1" t="s">
        <v>71</v>
      </c>
      <c r="C679" s="1" t="s">
        <v>71</v>
      </c>
      <c r="D679" s="1" t="s">
        <v>72</v>
      </c>
      <c r="E679" s="1" t="s">
        <v>22</v>
      </c>
      <c r="F679" s="1" t="s">
        <v>2486</v>
      </c>
      <c r="G679" s="1" t="s">
        <v>614</v>
      </c>
      <c r="H679" s="1" t="s">
        <v>2487</v>
      </c>
      <c r="I679" s="1"/>
      <c r="J679" s="2"/>
      <c r="K679" s="3">
        <v>42.328958999999998</v>
      </c>
      <c r="L679" s="3">
        <v>69.542584000000005</v>
      </c>
      <c r="M679" s="1" t="s">
        <v>2488</v>
      </c>
      <c r="N679" s="1" t="s">
        <v>2489</v>
      </c>
      <c r="O679" s="1" t="s">
        <v>1051</v>
      </c>
      <c r="P679" s="1" t="s">
        <v>59</v>
      </c>
      <c r="Q679" s="1" t="s">
        <v>2464</v>
      </c>
      <c r="R679" s="1" t="s">
        <v>61</v>
      </c>
      <c r="S679" s="1"/>
    </row>
    <row r="680" spans="1:19" ht="79.8">
      <c r="A680" s="1" t="s">
        <v>2490</v>
      </c>
      <c r="B680" s="1" t="s">
        <v>2491</v>
      </c>
      <c r="C680" s="1" t="s">
        <v>2491</v>
      </c>
      <c r="D680" s="1" t="s">
        <v>55</v>
      </c>
      <c r="E680" s="1" t="s">
        <v>27</v>
      </c>
      <c r="F680" s="1" t="s">
        <v>2492</v>
      </c>
      <c r="G680" s="1" t="s">
        <v>403</v>
      </c>
      <c r="H680" s="1" t="s">
        <v>2493</v>
      </c>
      <c r="I680" s="1"/>
      <c r="J680" s="2"/>
      <c r="K680" s="3">
        <v>42.347946</v>
      </c>
      <c r="L680" s="3">
        <v>69.527939000000003</v>
      </c>
      <c r="M680" s="1" t="s">
        <v>2494</v>
      </c>
      <c r="N680" s="1" t="s">
        <v>2495</v>
      </c>
      <c r="O680" s="1" t="s">
        <v>1051</v>
      </c>
      <c r="P680" s="1" t="s">
        <v>59</v>
      </c>
      <c r="Q680" s="1" t="s">
        <v>2464</v>
      </c>
      <c r="R680" s="1" t="s">
        <v>61</v>
      </c>
      <c r="S680" s="1"/>
    </row>
    <row r="681" spans="1:19" ht="79.8">
      <c r="A681" s="1" t="s">
        <v>2496</v>
      </c>
      <c r="B681" s="1" t="s">
        <v>2497</v>
      </c>
      <c r="C681" s="1" t="s">
        <v>2497</v>
      </c>
      <c r="D681" s="1" t="s">
        <v>55</v>
      </c>
      <c r="E681" s="1" t="s">
        <v>22</v>
      </c>
      <c r="F681" s="1" t="s">
        <v>2498</v>
      </c>
      <c r="G681" s="1" t="s">
        <v>614</v>
      </c>
      <c r="H681" s="1" t="s">
        <v>615</v>
      </c>
      <c r="I681" s="1"/>
      <c r="J681" s="2"/>
      <c r="K681" s="3">
        <v>42.319775999999997</v>
      </c>
      <c r="L681" s="3">
        <v>69.57526</v>
      </c>
      <c r="M681" s="1" t="s">
        <v>2499</v>
      </c>
      <c r="N681" s="1" t="s">
        <v>2500</v>
      </c>
      <c r="O681" s="1" t="s">
        <v>1051</v>
      </c>
      <c r="P681" s="1" t="s">
        <v>59</v>
      </c>
      <c r="Q681" s="1" t="s">
        <v>2464</v>
      </c>
      <c r="R681" s="1" t="s">
        <v>61</v>
      </c>
      <c r="S681" s="1"/>
    </row>
    <row r="682" spans="1:19" ht="79.8">
      <c r="A682" s="1" t="s">
        <v>2501</v>
      </c>
      <c r="B682" s="1" t="s">
        <v>2502</v>
      </c>
      <c r="C682" s="1" t="s">
        <v>2502</v>
      </c>
      <c r="D682" s="1" t="s">
        <v>55</v>
      </c>
      <c r="E682" s="1" t="s">
        <v>27</v>
      </c>
      <c r="F682" s="1" t="s">
        <v>2503</v>
      </c>
      <c r="G682" s="1" t="s">
        <v>403</v>
      </c>
      <c r="H682" s="1" t="s">
        <v>2504</v>
      </c>
      <c r="I682" s="1"/>
      <c r="J682" s="2"/>
      <c r="K682" s="3">
        <v>42.356096999999998</v>
      </c>
      <c r="L682" s="3">
        <v>69.557106000000005</v>
      </c>
      <c r="M682" s="1" t="s">
        <v>2505</v>
      </c>
      <c r="N682" s="1" t="s">
        <v>2506</v>
      </c>
      <c r="O682" s="1" t="s">
        <v>1051</v>
      </c>
      <c r="P682" s="1" t="s">
        <v>59</v>
      </c>
      <c r="Q682" s="1" t="s">
        <v>2464</v>
      </c>
      <c r="R682" s="1" t="s">
        <v>61</v>
      </c>
      <c r="S682" s="1"/>
    </row>
    <row r="683" spans="1:19" ht="79.8">
      <c r="A683" s="1" t="s">
        <v>2507</v>
      </c>
      <c r="B683" s="1" t="s">
        <v>2508</v>
      </c>
      <c r="C683" s="1" t="s">
        <v>2508</v>
      </c>
      <c r="D683" s="1" t="s">
        <v>2508</v>
      </c>
      <c r="E683" s="1" t="s">
        <v>22</v>
      </c>
      <c r="F683" s="1" t="s">
        <v>2509</v>
      </c>
      <c r="G683" s="1" t="s">
        <v>403</v>
      </c>
      <c r="H683" s="1" t="s">
        <v>2510</v>
      </c>
      <c r="I683" s="1" t="s">
        <v>2511</v>
      </c>
      <c r="J683" s="2">
        <v>2</v>
      </c>
      <c r="K683" s="3">
        <v>42.354166999999997</v>
      </c>
      <c r="L683" s="3">
        <v>69.533017000000001</v>
      </c>
      <c r="M683" s="1" t="s">
        <v>2512</v>
      </c>
      <c r="N683" s="1" t="s">
        <v>1167</v>
      </c>
      <c r="O683" s="1" t="s">
        <v>1065</v>
      </c>
      <c r="P683" s="1" t="s">
        <v>59</v>
      </c>
      <c r="Q683" s="1" t="s">
        <v>2464</v>
      </c>
      <c r="R683" s="1" t="s">
        <v>61</v>
      </c>
      <c r="S683" s="1" t="s">
        <v>2471</v>
      </c>
    </row>
    <row r="684" spans="1:19" ht="79.8">
      <c r="A684" s="1" t="s">
        <v>2513</v>
      </c>
      <c r="B684" s="1" t="s">
        <v>2508</v>
      </c>
      <c r="C684" s="1" t="s">
        <v>2508</v>
      </c>
      <c r="D684" s="1" t="s">
        <v>2508</v>
      </c>
      <c r="E684" s="1" t="s">
        <v>22</v>
      </c>
      <c r="F684" s="1" t="s">
        <v>2514</v>
      </c>
      <c r="G684" s="1" t="s">
        <v>403</v>
      </c>
      <c r="H684" s="1" t="s">
        <v>2515</v>
      </c>
      <c r="I684" s="1" t="s">
        <v>2516</v>
      </c>
      <c r="J684" s="2">
        <v>2</v>
      </c>
      <c r="K684" s="3">
        <v>42.394849000000001</v>
      </c>
      <c r="L684" s="3">
        <v>69.612128999999996</v>
      </c>
      <c r="M684" s="1" t="s">
        <v>2517</v>
      </c>
      <c r="N684" s="1" t="s">
        <v>2495</v>
      </c>
      <c r="O684" s="1" t="s">
        <v>1065</v>
      </c>
      <c r="P684" s="1" t="s">
        <v>59</v>
      </c>
      <c r="Q684" s="1" t="s">
        <v>2464</v>
      </c>
      <c r="R684" s="1" t="s">
        <v>61</v>
      </c>
      <c r="S684" s="1" t="s">
        <v>2471</v>
      </c>
    </row>
    <row r="685" spans="1:19" ht="79.8">
      <c r="A685" s="1" t="s">
        <v>2518</v>
      </c>
      <c r="B685" s="1" t="s">
        <v>2519</v>
      </c>
      <c r="C685" s="1" t="s">
        <v>2519</v>
      </c>
      <c r="D685" s="1" t="s">
        <v>2520</v>
      </c>
      <c r="E685" s="1" t="s">
        <v>22</v>
      </c>
      <c r="F685" s="1" t="s">
        <v>2521</v>
      </c>
      <c r="G685" s="1" t="s">
        <v>403</v>
      </c>
      <c r="H685" s="1" t="s">
        <v>2522</v>
      </c>
      <c r="I685" s="1"/>
      <c r="J685" s="2"/>
      <c r="K685" s="3">
        <v>42.396979999999999</v>
      </c>
      <c r="L685" s="3">
        <v>69.559828999999993</v>
      </c>
      <c r="M685" s="1" t="s">
        <v>2523</v>
      </c>
      <c r="N685" s="1" t="s">
        <v>2506</v>
      </c>
      <c r="O685" s="1" t="s">
        <v>1051</v>
      </c>
      <c r="P685" s="1" t="s">
        <v>59</v>
      </c>
      <c r="Q685" s="1" t="s">
        <v>2464</v>
      </c>
      <c r="R685" s="1" t="s">
        <v>61</v>
      </c>
      <c r="S685" s="1"/>
    </row>
    <row r="686" spans="1:19" ht="79.8">
      <c r="A686" s="1" t="s">
        <v>2524</v>
      </c>
      <c r="B686" s="1" t="s">
        <v>2525</v>
      </c>
      <c r="C686" s="1" t="s">
        <v>2525</v>
      </c>
      <c r="D686" s="1" t="s">
        <v>55</v>
      </c>
      <c r="E686" s="1" t="s">
        <v>22</v>
      </c>
      <c r="F686" s="1" t="s">
        <v>2526</v>
      </c>
      <c r="G686" s="1" t="s">
        <v>403</v>
      </c>
      <c r="H686" s="1" t="s">
        <v>615</v>
      </c>
      <c r="I686" s="1"/>
      <c r="J686" s="2"/>
      <c r="K686" s="3">
        <v>42.387994999999997</v>
      </c>
      <c r="L686" s="3">
        <v>69.524829999999994</v>
      </c>
      <c r="M686" s="1" t="s">
        <v>2527</v>
      </c>
      <c r="N686" s="1" t="s">
        <v>2528</v>
      </c>
      <c r="O686" s="1" t="s">
        <v>1051</v>
      </c>
      <c r="P686" s="1" t="s">
        <v>59</v>
      </c>
      <c r="Q686" s="1" t="s">
        <v>2464</v>
      </c>
      <c r="R686" s="1" t="s">
        <v>61</v>
      </c>
      <c r="S686" s="1"/>
    </row>
    <row r="687" spans="1:19" ht="79.8">
      <c r="A687" s="1" t="s">
        <v>2529</v>
      </c>
      <c r="B687" s="1" t="s">
        <v>2530</v>
      </c>
      <c r="C687" s="1" t="s">
        <v>2530</v>
      </c>
      <c r="D687" s="1" t="s">
        <v>55</v>
      </c>
      <c r="E687" s="1" t="s">
        <v>22</v>
      </c>
      <c r="F687" s="1" t="s">
        <v>2531</v>
      </c>
      <c r="G687" s="1" t="s">
        <v>403</v>
      </c>
      <c r="H687" s="1" t="s">
        <v>615</v>
      </c>
      <c r="I687" s="1"/>
      <c r="J687" s="2"/>
      <c r="K687" s="3">
        <v>42.439658000000001</v>
      </c>
      <c r="L687" s="3">
        <v>69.537166999999997</v>
      </c>
      <c r="M687" s="1" t="s">
        <v>2532</v>
      </c>
      <c r="N687" s="1" t="s">
        <v>2528</v>
      </c>
      <c r="O687" s="1" t="s">
        <v>1051</v>
      </c>
      <c r="P687" s="1" t="s">
        <v>59</v>
      </c>
      <c r="Q687" s="1" t="s">
        <v>2464</v>
      </c>
      <c r="R687" s="1" t="s">
        <v>61</v>
      </c>
      <c r="S687" s="1"/>
    </row>
    <row r="688" spans="1:19" ht="79.8">
      <c r="A688" s="1" t="s">
        <v>2533</v>
      </c>
      <c r="B688" s="1" t="s">
        <v>2534</v>
      </c>
      <c r="C688" s="1" t="s">
        <v>2534</v>
      </c>
      <c r="D688" s="1" t="s">
        <v>55</v>
      </c>
      <c r="E688" s="1" t="s">
        <v>29</v>
      </c>
      <c r="F688" s="1" t="s">
        <v>2535</v>
      </c>
      <c r="G688" s="1" t="s">
        <v>403</v>
      </c>
      <c r="H688" s="1" t="s">
        <v>2536</v>
      </c>
      <c r="I688" s="1"/>
      <c r="J688" s="2"/>
      <c r="K688" s="3">
        <v>42.388589000000003</v>
      </c>
      <c r="L688" s="3">
        <v>69.599721000000002</v>
      </c>
      <c r="M688" s="1" t="s">
        <v>2537</v>
      </c>
      <c r="N688" s="1" t="s">
        <v>2528</v>
      </c>
      <c r="O688" s="1" t="s">
        <v>1051</v>
      </c>
      <c r="P688" s="1" t="s">
        <v>59</v>
      </c>
      <c r="Q688" s="1" t="s">
        <v>2464</v>
      </c>
      <c r="R688" s="1" t="s">
        <v>61</v>
      </c>
      <c r="S688" s="1"/>
    </row>
    <row r="689" spans="1:19" ht="79.8">
      <c r="A689" s="1" t="s">
        <v>2538</v>
      </c>
      <c r="B689" s="1" t="s">
        <v>2539</v>
      </c>
      <c r="C689" s="1" t="s">
        <v>2539</v>
      </c>
      <c r="D689" s="1" t="s">
        <v>55</v>
      </c>
      <c r="E689" s="1" t="s">
        <v>27</v>
      </c>
      <c r="F689" s="1" t="s">
        <v>2540</v>
      </c>
      <c r="G689" s="1" t="s">
        <v>403</v>
      </c>
      <c r="H689" s="1" t="s">
        <v>2541</v>
      </c>
      <c r="I689" s="1"/>
      <c r="J689" s="2"/>
      <c r="K689" s="3">
        <v>42.379615000000001</v>
      </c>
      <c r="L689" s="3">
        <v>69.546655000000001</v>
      </c>
      <c r="M689" s="1" t="s">
        <v>2542</v>
      </c>
      <c r="N689" s="1" t="s">
        <v>2528</v>
      </c>
      <c r="O689" s="1" t="s">
        <v>1051</v>
      </c>
      <c r="P689" s="1" t="s">
        <v>59</v>
      </c>
      <c r="Q689" s="1" t="s">
        <v>2464</v>
      </c>
      <c r="R689" s="1" t="s">
        <v>61</v>
      </c>
      <c r="S689" s="1" t="s">
        <v>2465</v>
      </c>
    </row>
    <row r="690" spans="1:19" ht="79.8">
      <c r="A690" s="1" t="s">
        <v>2543</v>
      </c>
      <c r="B690" s="1" t="s">
        <v>2544</v>
      </c>
      <c r="C690" s="1" t="s">
        <v>2544</v>
      </c>
      <c r="D690" s="1" t="s">
        <v>55</v>
      </c>
      <c r="E690" s="1" t="s">
        <v>22</v>
      </c>
      <c r="F690" s="1" t="s">
        <v>2545</v>
      </c>
      <c r="G690" s="1" t="s">
        <v>1295</v>
      </c>
      <c r="H690" s="1" t="s">
        <v>2546</v>
      </c>
      <c r="I690" s="1" t="s">
        <v>2547</v>
      </c>
      <c r="J690" s="2"/>
      <c r="K690" s="3">
        <v>42.315226000000003</v>
      </c>
      <c r="L690" s="3">
        <v>69.631421000000003</v>
      </c>
      <c r="M690" s="1" t="s">
        <v>2548</v>
      </c>
      <c r="N690" s="1" t="s">
        <v>1401</v>
      </c>
      <c r="O690" s="1" t="s">
        <v>1051</v>
      </c>
      <c r="P690" s="1" t="s">
        <v>59</v>
      </c>
      <c r="Q690" s="1" t="s">
        <v>2464</v>
      </c>
      <c r="R690" s="1" t="s">
        <v>61</v>
      </c>
      <c r="S690" s="1" t="s">
        <v>2465</v>
      </c>
    </row>
    <row r="691" spans="1:19" ht="79.8">
      <c r="A691" s="1" t="s">
        <v>2549</v>
      </c>
      <c r="B691" s="1" t="s">
        <v>205</v>
      </c>
      <c r="C691" s="1" t="s">
        <v>205</v>
      </c>
      <c r="D691" s="1" t="s">
        <v>2550</v>
      </c>
      <c r="E691" s="1" t="s">
        <v>27</v>
      </c>
      <c r="F691" s="1" t="s">
        <v>2551</v>
      </c>
      <c r="G691" s="1" t="s">
        <v>403</v>
      </c>
      <c r="H691" s="1" t="s">
        <v>615</v>
      </c>
      <c r="I691" s="1"/>
      <c r="J691" s="2"/>
      <c r="K691" s="3">
        <v>42.443269999999998</v>
      </c>
      <c r="L691" s="3">
        <v>69.528092000000001</v>
      </c>
      <c r="M691" s="1" t="s">
        <v>2552</v>
      </c>
      <c r="N691" s="1" t="s">
        <v>2528</v>
      </c>
      <c r="O691" s="1" t="s">
        <v>1051</v>
      </c>
      <c r="P691" s="1" t="s">
        <v>59</v>
      </c>
      <c r="Q691" s="1" t="s">
        <v>2464</v>
      </c>
      <c r="R691" s="1" t="s">
        <v>61</v>
      </c>
      <c r="S691" s="1"/>
    </row>
    <row r="692" spans="1:19" ht="79.8">
      <c r="A692" s="1" t="s">
        <v>2553</v>
      </c>
      <c r="B692" s="1" t="s">
        <v>213</v>
      </c>
      <c r="C692" s="1" t="s">
        <v>213</v>
      </c>
      <c r="D692" s="1" t="s">
        <v>2554</v>
      </c>
      <c r="E692" s="1" t="s">
        <v>22</v>
      </c>
      <c r="F692" s="1" t="s">
        <v>2555</v>
      </c>
      <c r="G692" s="1" t="s">
        <v>614</v>
      </c>
      <c r="H692" s="1" t="s">
        <v>2556</v>
      </c>
      <c r="I692" s="1"/>
      <c r="J692" s="2"/>
      <c r="K692" s="3">
        <v>42.305149999999998</v>
      </c>
      <c r="L692" s="3">
        <v>69.574961999999999</v>
      </c>
      <c r="M692" s="1" t="s">
        <v>2557</v>
      </c>
      <c r="N692" s="1" t="s">
        <v>2500</v>
      </c>
      <c r="O692" s="1" t="s">
        <v>1051</v>
      </c>
      <c r="P692" s="1" t="s">
        <v>59</v>
      </c>
      <c r="Q692" s="1" t="s">
        <v>2464</v>
      </c>
      <c r="R692" s="1" t="s">
        <v>61</v>
      </c>
      <c r="S692" s="1"/>
    </row>
    <row r="693" spans="1:19" ht="79.8">
      <c r="A693" s="1" t="s">
        <v>2558</v>
      </c>
      <c r="B693" s="1" t="s">
        <v>213</v>
      </c>
      <c r="C693" s="1" t="s">
        <v>213</v>
      </c>
      <c r="D693" s="1" t="s">
        <v>2554</v>
      </c>
      <c r="E693" s="1" t="s">
        <v>27</v>
      </c>
      <c r="F693" s="1" t="s">
        <v>2559</v>
      </c>
      <c r="G693" s="1" t="s">
        <v>1295</v>
      </c>
      <c r="H693" s="1" t="s">
        <v>2481</v>
      </c>
      <c r="I693" s="1"/>
      <c r="J693" s="2"/>
      <c r="K693" s="3">
        <v>42.310892000000003</v>
      </c>
      <c r="L693" s="3">
        <v>69.653066999999993</v>
      </c>
      <c r="M693" s="1" t="s">
        <v>2560</v>
      </c>
      <c r="N693" s="1" t="s">
        <v>2561</v>
      </c>
      <c r="O693" s="1" t="s">
        <v>1051</v>
      </c>
      <c r="P693" s="1" t="s">
        <v>59</v>
      </c>
      <c r="Q693" s="1" t="s">
        <v>2464</v>
      </c>
      <c r="R693" s="1" t="s">
        <v>61</v>
      </c>
      <c r="S693" s="1"/>
    </row>
    <row r="694" spans="1:19" ht="79.8">
      <c r="A694" s="1" t="s">
        <v>2562</v>
      </c>
      <c r="B694" s="1" t="s">
        <v>2563</v>
      </c>
      <c r="C694" s="1" t="s">
        <v>2563</v>
      </c>
      <c r="D694" s="1" t="s">
        <v>55</v>
      </c>
      <c r="E694" s="1" t="s">
        <v>27</v>
      </c>
      <c r="F694" s="1" t="s">
        <v>2564</v>
      </c>
      <c r="G694" s="1" t="s">
        <v>1295</v>
      </c>
      <c r="H694" s="1" t="s">
        <v>615</v>
      </c>
      <c r="I694" s="1"/>
      <c r="J694" s="2"/>
      <c r="K694" s="3">
        <v>42.281103999999999</v>
      </c>
      <c r="L694" s="3">
        <v>69.662183999999996</v>
      </c>
      <c r="M694" s="1" t="s">
        <v>2565</v>
      </c>
      <c r="N694" s="1" t="s">
        <v>2561</v>
      </c>
      <c r="O694" s="1" t="s">
        <v>1051</v>
      </c>
      <c r="P694" s="1" t="s">
        <v>59</v>
      </c>
      <c r="Q694" s="1" t="s">
        <v>2464</v>
      </c>
      <c r="R694" s="1" t="s">
        <v>61</v>
      </c>
      <c r="S694" s="1"/>
    </row>
    <row r="695" spans="1:19" ht="79.8">
      <c r="A695" s="1" t="s">
        <v>2566</v>
      </c>
      <c r="B695" s="1" t="s">
        <v>232</v>
      </c>
      <c r="C695" s="1" t="s">
        <v>232</v>
      </c>
      <c r="D695" s="1" t="s">
        <v>2567</v>
      </c>
      <c r="E695" s="1" t="s">
        <v>27</v>
      </c>
      <c r="F695" s="1" t="s">
        <v>2568</v>
      </c>
      <c r="G695" s="1" t="s">
        <v>614</v>
      </c>
      <c r="H695" s="1" t="s">
        <v>615</v>
      </c>
      <c r="I695" s="1"/>
      <c r="J695" s="2"/>
      <c r="K695" s="3">
        <v>42.318767999999999</v>
      </c>
      <c r="L695" s="3">
        <v>69.561967999999993</v>
      </c>
      <c r="M695" s="1" t="s">
        <v>2569</v>
      </c>
      <c r="N695" s="1" t="s">
        <v>2500</v>
      </c>
      <c r="O695" s="1" t="s">
        <v>1051</v>
      </c>
      <c r="P695" s="1" t="s">
        <v>59</v>
      </c>
      <c r="Q695" s="1" t="s">
        <v>2464</v>
      </c>
      <c r="R695" s="1" t="s">
        <v>61</v>
      </c>
      <c r="S695" s="1"/>
    </row>
    <row r="696" spans="1:19" ht="79.8">
      <c r="A696" s="1" t="s">
        <v>2570</v>
      </c>
      <c r="B696" s="1" t="s">
        <v>249</v>
      </c>
      <c r="C696" s="1" t="s">
        <v>249</v>
      </c>
      <c r="D696" s="1" t="s">
        <v>2571</v>
      </c>
      <c r="E696" s="1" t="s">
        <v>27</v>
      </c>
      <c r="F696" s="1" t="s">
        <v>2572</v>
      </c>
      <c r="G696" s="1" t="s">
        <v>403</v>
      </c>
      <c r="H696" s="1" t="s">
        <v>615</v>
      </c>
      <c r="I696" s="1"/>
      <c r="J696" s="2"/>
      <c r="K696" s="3">
        <v>42.369683000000002</v>
      </c>
      <c r="L696" s="3">
        <v>69.532803999999999</v>
      </c>
      <c r="M696" s="1" t="s">
        <v>2573</v>
      </c>
      <c r="N696" s="1" t="s">
        <v>2495</v>
      </c>
      <c r="O696" s="1" t="s">
        <v>1051</v>
      </c>
      <c r="P696" s="1" t="s">
        <v>59</v>
      </c>
      <c r="Q696" s="1" t="s">
        <v>2464</v>
      </c>
      <c r="R696" s="1" t="s">
        <v>61</v>
      </c>
      <c r="S696" s="1"/>
    </row>
    <row r="697" spans="1:19" ht="79.8">
      <c r="A697" s="1" t="s">
        <v>2574</v>
      </c>
      <c r="B697" s="1" t="s">
        <v>2575</v>
      </c>
      <c r="C697" s="1" t="s">
        <v>2575</v>
      </c>
      <c r="D697" s="1" t="s">
        <v>55</v>
      </c>
      <c r="E697" s="1" t="s">
        <v>22</v>
      </c>
      <c r="F697" s="1" t="s">
        <v>2576</v>
      </c>
      <c r="G697" s="1" t="s">
        <v>1218</v>
      </c>
      <c r="H697" s="1" t="s">
        <v>2577</v>
      </c>
      <c r="I697" s="1"/>
      <c r="J697" s="2"/>
      <c r="K697" s="3">
        <v>42.382497999999998</v>
      </c>
      <c r="L697" s="3">
        <v>69.694435999999996</v>
      </c>
      <c r="M697" s="1" t="s">
        <v>2578</v>
      </c>
      <c r="N697" s="1" t="s">
        <v>2478</v>
      </c>
      <c r="O697" s="1" t="s">
        <v>1051</v>
      </c>
      <c r="P697" s="1" t="s">
        <v>59</v>
      </c>
      <c r="Q697" s="1" t="s">
        <v>2464</v>
      </c>
      <c r="R697" s="1" t="s">
        <v>61</v>
      </c>
      <c r="S697" s="1"/>
    </row>
    <row r="698" spans="1:19" ht="79.8">
      <c r="A698" s="1" t="s">
        <v>2579</v>
      </c>
      <c r="B698" s="1" t="s">
        <v>2580</v>
      </c>
      <c r="C698" s="1" t="s">
        <v>2580</v>
      </c>
      <c r="D698" s="1" t="s">
        <v>55</v>
      </c>
      <c r="E698" s="1" t="s">
        <v>22</v>
      </c>
      <c r="F698" s="1" t="s">
        <v>2581</v>
      </c>
      <c r="G698" s="1" t="s">
        <v>403</v>
      </c>
      <c r="H698" s="1" t="s">
        <v>2582</v>
      </c>
      <c r="I698" s="1"/>
      <c r="J698" s="2"/>
      <c r="K698" s="3">
        <v>42.382435999999998</v>
      </c>
      <c r="L698" s="3">
        <v>69.567305000000005</v>
      </c>
      <c r="M698" s="1" t="s">
        <v>2583</v>
      </c>
      <c r="N698" s="1" t="s">
        <v>2506</v>
      </c>
      <c r="O698" s="1" t="s">
        <v>1051</v>
      </c>
      <c r="P698" s="1" t="s">
        <v>59</v>
      </c>
      <c r="Q698" s="1" t="s">
        <v>2464</v>
      </c>
      <c r="R698" s="1" t="s">
        <v>61</v>
      </c>
      <c r="S698" s="1"/>
    </row>
    <row r="699" spans="1:19" ht="79.8">
      <c r="A699" s="1" t="s">
        <v>2584</v>
      </c>
      <c r="B699" s="1" t="s">
        <v>2585</v>
      </c>
      <c r="C699" s="1" t="s">
        <v>2585</v>
      </c>
      <c r="D699" s="1" t="s">
        <v>55</v>
      </c>
      <c r="E699" s="1" t="s">
        <v>22</v>
      </c>
      <c r="F699" s="1" t="s">
        <v>2586</v>
      </c>
      <c r="G699" s="1" t="s">
        <v>1295</v>
      </c>
      <c r="H699" s="1" t="s">
        <v>2587</v>
      </c>
      <c r="I699" s="1"/>
      <c r="J699" s="2"/>
      <c r="K699" s="3">
        <v>42.282443000000001</v>
      </c>
      <c r="L699" s="3">
        <v>69.650398999999993</v>
      </c>
      <c r="M699" s="1" t="s">
        <v>2588</v>
      </c>
      <c r="N699" s="1" t="s">
        <v>2561</v>
      </c>
      <c r="O699" s="1" t="s">
        <v>1051</v>
      </c>
      <c r="P699" s="1" t="s">
        <v>59</v>
      </c>
      <c r="Q699" s="1" t="s">
        <v>2464</v>
      </c>
      <c r="R699" s="1" t="s">
        <v>61</v>
      </c>
      <c r="S699" s="1"/>
    </row>
    <row r="700" spans="1:19" ht="79.8">
      <c r="A700" s="1" t="s">
        <v>2589</v>
      </c>
      <c r="B700" s="1" t="s">
        <v>1195</v>
      </c>
      <c r="C700" s="1" t="s">
        <v>1195</v>
      </c>
      <c r="D700" s="1" t="s">
        <v>1195</v>
      </c>
      <c r="E700" s="1" t="s">
        <v>22</v>
      </c>
      <c r="F700" s="1" t="s">
        <v>2590</v>
      </c>
      <c r="G700" s="1" t="s">
        <v>614</v>
      </c>
      <c r="H700" s="1" t="s">
        <v>2591</v>
      </c>
      <c r="I700" s="1" t="s">
        <v>2592</v>
      </c>
      <c r="J700" s="2">
        <v>4</v>
      </c>
      <c r="K700" s="3">
        <v>42.318247999999997</v>
      </c>
      <c r="L700" s="3">
        <v>69.580054000000004</v>
      </c>
      <c r="M700" s="1" t="s">
        <v>2593</v>
      </c>
      <c r="N700" s="1" t="s">
        <v>2594</v>
      </c>
      <c r="O700" s="1" t="s">
        <v>1065</v>
      </c>
      <c r="P700" s="1" t="s">
        <v>59</v>
      </c>
      <c r="Q700" s="1" t="s">
        <v>2464</v>
      </c>
      <c r="R700" s="1" t="s">
        <v>61</v>
      </c>
      <c r="S700" s="1" t="s">
        <v>2595</v>
      </c>
    </row>
    <row r="701" spans="1:19" ht="79.8">
      <c r="A701" s="1" t="s">
        <v>2596</v>
      </c>
      <c r="B701" s="1" t="s">
        <v>1195</v>
      </c>
      <c r="C701" s="1" t="s">
        <v>1195</v>
      </c>
      <c r="D701" s="1" t="s">
        <v>1195</v>
      </c>
      <c r="E701" s="1" t="s">
        <v>22</v>
      </c>
      <c r="F701" s="1" t="s">
        <v>2597</v>
      </c>
      <c r="G701" s="1" t="s">
        <v>251</v>
      </c>
      <c r="H701" s="1" t="s">
        <v>615</v>
      </c>
      <c r="I701" s="1" t="s">
        <v>2598</v>
      </c>
      <c r="J701" s="2">
        <v>4</v>
      </c>
      <c r="K701" s="3">
        <v>42.324145000000001</v>
      </c>
      <c r="L701" s="3">
        <v>69.594774000000001</v>
      </c>
      <c r="M701" s="1" t="s">
        <v>2599</v>
      </c>
      <c r="N701" s="1" t="s">
        <v>1159</v>
      </c>
      <c r="O701" s="1" t="s">
        <v>1065</v>
      </c>
      <c r="P701" s="1" t="s">
        <v>59</v>
      </c>
      <c r="Q701" s="1" t="s">
        <v>2464</v>
      </c>
      <c r="R701" s="1" t="s">
        <v>61</v>
      </c>
      <c r="S701" s="1" t="s">
        <v>2471</v>
      </c>
    </row>
    <row r="702" spans="1:19" ht="79.8">
      <c r="A702" s="1" t="s">
        <v>2600</v>
      </c>
      <c r="B702" s="1" t="s">
        <v>1195</v>
      </c>
      <c r="C702" s="1" t="s">
        <v>1195</v>
      </c>
      <c r="D702" s="1" t="s">
        <v>1195</v>
      </c>
      <c r="E702" s="1" t="s">
        <v>22</v>
      </c>
      <c r="F702" s="1" t="s">
        <v>2601</v>
      </c>
      <c r="G702" s="1" t="s">
        <v>251</v>
      </c>
      <c r="H702" s="1" t="s">
        <v>2591</v>
      </c>
      <c r="I702" s="1" t="s">
        <v>2602</v>
      </c>
      <c r="J702" s="2">
        <v>4</v>
      </c>
      <c r="K702" s="3">
        <v>42.314242</v>
      </c>
      <c r="L702" s="3">
        <v>69.602000000000004</v>
      </c>
      <c r="M702" s="1" t="s">
        <v>2603</v>
      </c>
      <c r="N702" s="1" t="s">
        <v>2604</v>
      </c>
      <c r="O702" s="1" t="s">
        <v>1065</v>
      </c>
      <c r="P702" s="1" t="s">
        <v>59</v>
      </c>
      <c r="Q702" s="1" t="s">
        <v>2464</v>
      </c>
      <c r="R702" s="1" t="s">
        <v>61</v>
      </c>
      <c r="S702" s="1" t="s">
        <v>2595</v>
      </c>
    </row>
    <row r="703" spans="1:19" ht="79.8">
      <c r="A703" s="1" t="s">
        <v>2605</v>
      </c>
      <c r="B703" s="1" t="s">
        <v>1654</v>
      </c>
      <c r="C703" s="1" t="s">
        <v>1654</v>
      </c>
      <c r="D703" s="1" t="s">
        <v>1655</v>
      </c>
      <c r="E703" s="1" t="s">
        <v>27</v>
      </c>
      <c r="F703" s="1" t="s">
        <v>2606</v>
      </c>
      <c r="G703" s="1" t="s">
        <v>403</v>
      </c>
      <c r="H703" s="1" t="s">
        <v>2607</v>
      </c>
      <c r="I703" s="1"/>
      <c r="J703" s="2"/>
      <c r="K703" s="3">
        <v>42.354768999999997</v>
      </c>
      <c r="L703" s="3">
        <v>69.553376</v>
      </c>
      <c r="M703" s="1" t="s">
        <v>2608</v>
      </c>
      <c r="N703" s="1" t="s">
        <v>2528</v>
      </c>
      <c r="O703" s="1" t="s">
        <v>1051</v>
      </c>
      <c r="P703" s="1" t="s">
        <v>59</v>
      </c>
      <c r="Q703" s="1" t="s">
        <v>2464</v>
      </c>
      <c r="R703" s="1" t="s">
        <v>61</v>
      </c>
      <c r="S703" s="1"/>
    </row>
    <row r="704" spans="1:19" ht="79.8">
      <c r="A704" s="1" t="s">
        <v>2609</v>
      </c>
      <c r="B704" s="1" t="s">
        <v>339</v>
      </c>
      <c r="C704" s="1" t="s">
        <v>339</v>
      </c>
      <c r="D704" s="1" t="s">
        <v>2610</v>
      </c>
      <c r="E704" s="1" t="s">
        <v>22</v>
      </c>
      <c r="F704" s="1" t="s">
        <v>2611</v>
      </c>
      <c r="G704" s="1" t="s">
        <v>614</v>
      </c>
      <c r="H704" s="1" t="s">
        <v>2612</v>
      </c>
      <c r="I704" s="1"/>
      <c r="J704" s="2"/>
      <c r="K704" s="3">
        <v>42.355103</v>
      </c>
      <c r="L704" s="3">
        <v>69.616382999999999</v>
      </c>
      <c r="M704" s="1" t="s">
        <v>2613</v>
      </c>
      <c r="N704" s="1" t="s">
        <v>2500</v>
      </c>
      <c r="O704" s="1" t="s">
        <v>1051</v>
      </c>
      <c r="P704" s="1" t="s">
        <v>59</v>
      </c>
      <c r="Q704" s="1" t="s">
        <v>2464</v>
      </c>
      <c r="R704" s="1" t="s">
        <v>61</v>
      </c>
      <c r="S704" s="1" t="s">
        <v>2614</v>
      </c>
    </row>
    <row r="705" spans="1:19" ht="79.8">
      <c r="A705" s="1" t="s">
        <v>2615</v>
      </c>
      <c r="B705" s="1" t="s">
        <v>2616</v>
      </c>
      <c r="C705" s="1" t="s">
        <v>2616</v>
      </c>
      <c r="D705" s="1" t="s">
        <v>55</v>
      </c>
      <c r="E705" s="1" t="s">
        <v>22</v>
      </c>
      <c r="F705" s="1" t="s">
        <v>2617</v>
      </c>
      <c r="G705" s="1" t="s">
        <v>251</v>
      </c>
      <c r="H705" s="1" t="s">
        <v>2618</v>
      </c>
      <c r="I705" s="1"/>
      <c r="J705" s="2"/>
      <c r="K705" s="3">
        <v>42.25864</v>
      </c>
      <c r="L705" s="3">
        <v>69.578924999999998</v>
      </c>
      <c r="M705" s="1" t="s">
        <v>2619</v>
      </c>
      <c r="N705" s="1" t="s">
        <v>2620</v>
      </c>
      <c r="O705" s="1" t="s">
        <v>1051</v>
      </c>
      <c r="P705" s="1" t="s">
        <v>59</v>
      </c>
      <c r="Q705" s="1" t="s">
        <v>2464</v>
      </c>
      <c r="R705" s="1" t="s">
        <v>61</v>
      </c>
      <c r="S705" s="1"/>
    </row>
    <row r="706" spans="1:19" ht="79.8">
      <c r="A706" s="1" t="s">
        <v>2621</v>
      </c>
      <c r="B706" s="1" t="s">
        <v>2622</v>
      </c>
      <c r="C706" s="1" t="s">
        <v>2622</v>
      </c>
      <c r="D706" s="1" t="s">
        <v>55</v>
      </c>
      <c r="E706" s="1" t="s">
        <v>22</v>
      </c>
      <c r="F706" s="1" t="s">
        <v>2623</v>
      </c>
      <c r="G706" s="1" t="s">
        <v>1295</v>
      </c>
      <c r="H706" s="1" t="s">
        <v>2624</v>
      </c>
      <c r="I706" s="1"/>
      <c r="J706" s="2"/>
      <c r="K706" s="3">
        <v>42.283239000000002</v>
      </c>
      <c r="L706" s="3">
        <v>69.649451999999997</v>
      </c>
      <c r="M706" s="1" t="s">
        <v>2625</v>
      </c>
      <c r="N706" s="1" t="s">
        <v>1401</v>
      </c>
      <c r="O706" s="1" t="s">
        <v>1051</v>
      </c>
      <c r="P706" s="1" t="s">
        <v>59</v>
      </c>
      <c r="Q706" s="1" t="s">
        <v>2464</v>
      </c>
      <c r="R706" s="1" t="s">
        <v>61</v>
      </c>
      <c r="S706" s="1"/>
    </row>
    <row r="707" spans="1:19" ht="79.8">
      <c r="A707" s="1" t="s">
        <v>2626</v>
      </c>
      <c r="B707" s="1" t="s">
        <v>437</v>
      </c>
      <c r="C707" s="1" t="s">
        <v>437</v>
      </c>
      <c r="D707" s="1" t="s">
        <v>438</v>
      </c>
      <c r="E707" s="1" t="s">
        <v>22</v>
      </c>
      <c r="F707" s="1" t="s">
        <v>2627</v>
      </c>
      <c r="G707" s="1" t="s">
        <v>1295</v>
      </c>
      <c r="H707" s="1" t="s">
        <v>2628</v>
      </c>
      <c r="I707" s="1"/>
      <c r="J707" s="2"/>
      <c r="K707" s="3">
        <v>42.341541999999997</v>
      </c>
      <c r="L707" s="3">
        <v>69.694678999999994</v>
      </c>
      <c r="M707" s="1" t="s">
        <v>2629</v>
      </c>
      <c r="N707" s="1" t="s">
        <v>2561</v>
      </c>
      <c r="O707" s="1" t="s">
        <v>1051</v>
      </c>
      <c r="P707" s="1" t="s">
        <v>59</v>
      </c>
      <c r="Q707" s="1" t="s">
        <v>2464</v>
      </c>
      <c r="R707" s="1" t="s">
        <v>61</v>
      </c>
      <c r="S707" s="1"/>
    </row>
    <row r="708" spans="1:19" ht="79.8">
      <c r="A708" s="1" t="s">
        <v>2630</v>
      </c>
      <c r="B708" s="1" t="s">
        <v>2631</v>
      </c>
      <c r="C708" s="1" t="s">
        <v>2631</v>
      </c>
      <c r="D708" s="1" t="s">
        <v>55</v>
      </c>
      <c r="E708" s="1" t="s">
        <v>27</v>
      </c>
      <c r="F708" s="1" t="s">
        <v>2632</v>
      </c>
      <c r="G708" s="1" t="s">
        <v>403</v>
      </c>
      <c r="H708" s="1" t="s">
        <v>2633</v>
      </c>
      <c r="I708" s="1"/>
      <c r="J708" s="2"/>
      <c r="K708" s="3">
        <v>42.403201000000003</v>
      </c>
      <c r="L708" s="3">
        <v>69.588252999999995</v>
      </c>
      <c r="M708" s="1" t="s">
        <v>2634</v>
      </c>
      <c r="N708" s="1" t="s">
        <v>2528</v>
      </c>
      <c r="O708" s="1" t="s">
        <v>1051</v>
      </c>
      <c r="P708" s="1" t="s">
        <v>59</v>
      </c>
      <c r="Q708" s="1" t="s">
        <v>2464</v>
      </c>
      <c r="R708" s="1" t="s">
        <v>61</v>
      </c>
      <c r="S708" s="1"/>
    </row>
    <row r="709" spans="1:19" ht="79.8">
      <c r="A709" s="1" t="s">
        <v>2635</v>
      </c>
      <c r="B709" s="1" t="s">
        <v>2636</v>
      </c>
      <c r="C709" s="1" t="s">
        <v>2636</v>
      </c>
      <c r="D709" s="1" t="s">
        <v>55</v>
      </c>
      <c r="E709" s="1" t="s">
        <v>22</v>
      </c>
      <c r="F709" s="1" t="s">
        <v>2637</v>
      </c>
      <c r="G709" s="1" t="s">
        <v>403</v>
      </c>
      <c r="H709" s="1" t="s">
        <v>2638</v>
      </c>
      <c r="I709" s="1"/>
      <c r="J709" s="2"/>
      <c r="K709" s="3">
        <v>42.388846999999998</v>
      </c>
      <c r="L709" s="3">
        <v>69.523527999999999</v>
      </c>
      <c r="M709" s="1" t="s">
        <v>2639</v>
      </c>
      <c r="N709" s="1" t="s">
        <v>2506</v>
      </c>
      <c r="O709" s="1" t="s">
        <v>1051</v>
      </c>
      <c r="P709" s="1" t="s">
        <v>59</v>
      </c>
      <c r="Q709" s="1" t="s">
        <v>2464</v>
      </c>
      <c r="R709" s="1" t="s">
        <v>61</v>
      </c>
      <c r="S709" s="1"/>
    </row>
    <row r="710" spans="1:19" ht="79.8">
      <c r="A710" s="1" t="s">
        <v>2640</v>
      </c>
      <c r="B710" s="1" t="s">
        <v>1060</v>
      </c>
      <c r="C710" s="1" t="s">
        <v>1060</v>
      </c>
      <c r="D710" s="1" t="s">
        <v>1060</v>
      </c>
      <c r="E710" s="1" t="s">
        <v>22</v>
      </c>
      <c r="F710" s="1" t="s">
        <v>2641</v>
      </c>
      <c r="G710" s="1" t="s">
        <v>1218</v>
      </c>
      <c r="H710" s="1" t="s">
        <v>2642</v>
      </c>
      <c r="I710" s="1" t="s">
        <v>2643</v>
      </c>
      <c r="J710" s="2">
        <v>14</v>
      </c>
      <c r="K710" s="3">
        <v>42.393599999999999</v>
      </c>
      <c r="L710" s="3">
        <v>69.639314999999996</v>
      </c>
      <c r="M710" s="1" t="s">
        <v>2644</v>
      </c>
      <c r="N710" s="1" t="s">
        <v>2645</v>
      </c>
      <c r="O710" s="1" t="s">
        <v>1065</v>
      </c>
      <c r="P710" s="1" t="s">
        <v>59</v>
      </c>
      <c r="Q710" s="1" t="s">
        <v>2464</v>
      </c>
      <c r="R710" s="1" t="s">
        <v>61</v>
      </c>
      <c r="S710" s="1" t="s">
        <v>2471</v>
      </c>
    </row>
    <row r="711" spans="1:19" ht="79.8">
      <c r="A711" s="1" t="s">
        <v>2646</v>
      </c>
      <c r="B711" s="1" t="s">
        <v>1060</v>
      </c>
      <c r="C711" s="1" t="s">
        <v>1060</v>
      </c>
      <c r="D711" s="1" t="s">
        <v>1060</v>
      </c>
      <c r="E711" s="1" t="s">
        <v>22</v>
      </c>
      <c r="F711" s="1" t="s">
        <v>2647</v>
      </c>
      <c r="G711" s="1" t="s">
        <v>1218</v>
      </c>
      <c r="H711" s="1" t="s">
        <v>2648</v>
      </c>
      <c r="I711" s="1" t="s">
        <v>2649</v>
      </c>
      <c r="J711" s="2">
        <v>14</v>
      </c>
      <c r="K711" s="3">
        <v>42.354939000000002</v>
      </c>
      <c r="L711" s="3">
        <v>69.651737999999995</v>
      </c>
      <c r="M711" s="1" t="s">
        <v>2650</v>
      </c>
      <c r="N711" s="1" t="s">
        <v>2651</v>
      </c>
      <c r="O711" s="1" t="s">
        <v>1065</v>
      </c>
      <c r="P711" s="1" t="s">
        <v>59</v>
      </c>
      <c r="Q711" s="1" t="s">
        <v>2464</v>
      </c>
      <c r="R711" s="1" t="s">
        <v>61</v>
      </c>
      <c r="S711" s="1" t="s">
        <v>2595</v>
      </c>
    </row>
    <row r="712" spans="1:19" ht="91.2">
      <c r="A712" s="1" t="s">
        <v>2652</v>
      </c>
      <c r="B712" s="1" t="s">
        <v>1060</v>
      </c>
      <c r="C712" s="1" t="s">
        <v>1060</v>
      </c>
      <c r="D712" s="1" t="s">
        <v>1060</v>
      </c>
      <c r="E712" s="1" t="s">
        <v>22</v>
      </c>
      <c r="F712" s="1" t="s">
        <v>2653</v>
      </c>
      <c r="G712" s="1" t="s">
        <v>1218</v>
      </c>
      <c r="H712" s="1" t="s">
        <v>2654</v>
      </c>
      <c r="I712" s="1" t="s">
        <v>2655</v>
      </c>
      <c r="J712" s="2">
        <v>14</v>
      </c>
      <c r="K712" s="3">
        <v>42.359946000000001</v>
      </c>
      <c r="L712" s="3">
        <v>69.631452999999993</v>
      </c>
      <c r="M712" s="1" t="s">
        <v>2656</v>
      </c>
      <c r="N712" s="1" t="s">
        <v>2651</v>
      </c>
      <c r="O712" s="1" t="s">
        <v>1065</v>
      </c>
      <c r="P712" s="1" t="s">
        <v>59</v>
      </c>
      <c r="Q712" s="1" t="s">
        <v>2464</v>
      </c>
      <c r="R712" s="1" t="s">
        <v>61</v>
      </c>
      <c r="S712" s="1" t="s">
        <v>2595</v>
      </c>
    </row>
    <row r="713" spans="1:19" ht="79.8">
      <c r="A713" s="1" t="s">
        <v>2657</v>
      </c>
      <c r="B713" s="1" t="s">
        <v>1060</v>
      </c>
      <c r="C713" s="1" t="s">
        <v>1060</v>
      </c>
      <c r="D713" s="1" t="s">
        <v>1060</v>
      </c>
      <c r="E713" s="1" t="s">
        <v>22</v>
      </c>
      <c r="F713" s="1" t="s">
        <v>2658</v>
      </c>
      <c r="G713" s="1" t="s">
        <v>1218</v>
      </c>
      <c r="H713" s="1" t="s">
        <v>2659</v>
      </c>
      <c r="I713" s="1" t="s">
        <v>2660</v>
      </c>
      <c r="J713" s="2">
        <v>14</v>
      </c>
      <c r="K713" s="3">
        <v>42.393405999999999</v>
      </c>
      <c r="L713" s="3">
        <v>69.653717999999998</v>
      </c>
      <c r="M713" s="1" t="s">
        <v>2661</v>
      </c>
      <c r="N713" s="1" t="s">
        <v>2651</v>
      </c>
      <c r="O713" s="1" t="s">
        <v>1065</v>
      </c>
      <c r="P713" s="1" t="s">
        <v>59</v>
      </c>
      <c r="Q713" s="1" t="s">
        <v>2464</v>
      </c>
      <c r="R713" s="1" t="s">
        <v>61</v>
      </c>
      <c r="S713" s="1" t="s">
        <v>2595</v>
      </c>
    </row>
    <row r="714" spans="1:19" ht="79.8">
      <c r="A714" s="1" t="s">
        <v>2662</v>
      </c>
      <c r="B714" s="1" t="s">
        <v>1060</v>
      </c>
      <c r="C714" s="1" t="s">
        <v>1060</v>
      </c>
      <c r="D714" s="1" t="s">
        <v>1060</v>
      </c>
      <c r="E714" s="1" t="s">
        <v>22</v>
      </c>
      <c r="F714" s="1" t="s">
        <v>2663</v>
      </c>
      <c r="G714" s="1" t="s">
        <v>1218</v>
      </c>
      <c r="H714" s="1" t="s">
        <v>1062</v>
      </c>
      <c r="I714" s="1" t="s">
        <v>2664</v>
      </c>
      <c r="J714" s="2">
        <v>14</v>
      </c>
      <c r="K714" s="3">
        <v>42.375509000000001</v>
      </c>
      <c r="L714" s="3">
        <v>69.628676999999996</v>
      </c>
      <c r="M714" s="1" t="s">
        <v>2665</v>
      </c>
      <c r="N714" s="1" t="s">
        <v>2651</v>
      </c>
      <c r="O714" s="1" t="s">
        <v>1065</v>
      </c>
      <c r="P714" s="1" t="s">
        <v>59</v>
      </c>
      <c r="Q714" s="1" t="s">
        <v>2464</v>
      </c>
      <c r="R714" s="1" t="s">
        <v>61</v>
      </c>
      <c r="S714" s="1" t="s">
        <v>2595</v>
      </c>
    </row>
    <row r="715" spans="1:19" ht="79.8">
      <c r="A715" s="1" t="s">
        <v>2666</v>
      </c>
      <c r="B715" s="1" t="s">
        <v>1060</v>
      </c>
      <c r="C715" s="1" t="s">
        <v>1060</v>
      </c>
      <c r="D715" s="1" t="s">
        <v>1060</v>
      </c>
      <c r="E715" s="1" t="s">
        <v>22</v>
      </c>
      <c r="F715" s="1" t="s">
        <v>2667</v>
      </c>
      <c r="G715" s="1" t="s">
        <v>403</v>
      </c>
      <c r="H715" s="1" t="s">
        <v>2668</v>
      </c>
      <c r="I715" s="1" t="s">
        <v>2669</v>
      </c>
      <c r="J715" s="2">
        <v>14</v>
      </c>
      <c r="K715" s="3">
        <v>42.379449999999999</v>
      </c>
      <c r="L715" s="3">
        <v>69.614411000000004</v>
      </c>
      <c r="M715" s="1" t="s">
        <v>2670</v>
      </c>
      <c r="N715" s="1" t="s">
        <v>1167</v>
      </c>
      <c r="O715" s="1" t="s">
        <v>1065</v>
      </c>
      <c r="P715" s="1" t="s">
        <v>59</v>
      </c>
      <c r="Q715" s="1" t="s">
        <v>2464</v>
      </c>
      <c r="R715" s="1" t="s">
        <v>61</v>
      </c>
      <c r="S715" s="1" t="s">
        <v>2595</v>
      </c>
    </row>
    <row r="716" spans="1:19" ht="79.8">
      <c r="A716" s="1" t="s">
        <v>2671</v>
      </c>
      <c r="B716" s="1" t="s">
        <v>1060</v>
      </c>
      <c r="C716" s="1" t="s">
        <v>1060</v>
      </c>
      <c r="D716" s="1" t="s">
        <v>1060</v>
      </c>
      <c r="E716" s="1" t="s">
        <v>22</v>
      </c>
      <c r="F716" s="1" t="s">
        <v>2672</v>
      </c>
      <c r="G716" s="1" t="s">
        <v>403</v>
      </c>
      <c r="H716" s="1" t="s">
        <v>2673</v>
      </c>
      <c r="I716" s="1" t="s">
        <v>2674</v>
      </c>
      <c r="J716" s="2">
        <v>14</v>
      </c>
      <c r="K716" s="3">
        <v>42.397534999999998</v>
      </c>
      <c r="L716" s="3">
        <v>69.613298</v>
      </c>
      <c r="M716" s="1" t="s">
        <v>2675</v>
      </c>
      <c r="N716" s="1" t="s">
        <v>2495</v>
      </c>
      <c r="O716" s="1" t="s">
        <v>1065</v>
      </c>
      <c r="P716" s="1" t="s">
        <v>59</v>
      </c>
      <c r="Q716" s="1" t="s">
        <v>2464</v>
      </c>
      <c r="R716" s="1" t="s">
        <v>61</v>
      </c>
      <c r="S716" s="1" t="s">
        <v>2471</v>
      </c>
    </row>
    <row r="717" spans="1:19" ht="79.8">
      <c r="A717" s="1" t="s">
        <v>2676</v>
      </c>
      <c r="B717" s="1" t="s">
        <v>2677</v>
      </c>
      <c r="C717" s="1" t="s">
        <v>2677</v>
      </c>
      <c r="D717" s="1" t="s">
        <v>55</v>
      </c>
      <c r="E717" s="1" t="s">
        <v>22</v>
      </c>
      <c r="F717" s="1" t="s">
        <v>2678</v>
      </c>
      <c r="G717" s="1" t="s">
        <v>251</v>
      </c>
      <c r="H717" s="1" t="s">
        <v>2679</v>
      </c>
      <c r="I717" s="1"/>
      <c r="J717" s="2"/>
      <c r="K717" s="3">
        <v>42.303299000000003</v>
      </c>
      <c r="L717" s="3">
        <v>69.582160000000002</v>
      </c>
      <c r="M717" s="1" t="s">
        <v>2680</v>
      </c>
      <c r="N717" s="1" t="s">
        <v>2604</v>
      </c>
      <c r="O717" s="1" t="s">
        <v>1051</v>
      </c>
      <c r="P717" s="1" t="s">
        <v>59</v>
      </c>
      <c r="Q717" s="1" t="s">
        <v>2464</v>
      </c>
      <c r="R717" s="1" t="s">
        <v>61</v>
      </c>
      <c r="S717" s="1"/>
    </row>
    <row r="718" spans="1:19" ht="79.8">
      <c r="A718" s="1" t="s">
        <v>2681</v>
      </c>
      <c r="B718" s="1" t="s">
        <v>2682</v>
      </c>
      <c r="C718" s="1" t="s">
        <v>2682</v>
      </c>
      <c r="D718" s="1" t="s">
        <v>55</v>
      </c>
      <c r="E718" s="1" t="s">
        <v>22</v>
      </c>
      <c r="F718" s="1" t="s">
        <v>2683</v>
      </c>
      <c r="G718" s="1" t="s">
        <v>251</v>
      </c>
      <c r="H718" s="1" t="s">
        <v>2684</v>
      </c>
      <c r="I718" s="1"/>
      <c r="J718" s="2"/>
      <c r="K718" s="3">
        <v>42.337981999999997</v>
      </c>
      <c r="L718" s="3">
        <v>69.631619000000001</v>
      </c>
      <c r="M718" s="1" t="s">
        <v>2685</v>
      </c>
      <c r="N718" s="1" t="s">
        <v>2604</v>
      </c>
      <c r="O718" s="1" t="s">
        <v>1051</v>
      </c>
      <c r="P718" s="1" t="s">
        <v>59</v>
      </c>
      <c r="Q718" s="1" t="s">
        <v>2464</v>
      </c>
      <c r="R718" s="1" t="s">
        <v>61</v>
      </c>
      <c r="S718" s="1" t="s">
        <v>2465</v>
      </c>
    </row>
    <row r="719" spans="1:19" ht="79.8">
      <c r="A719" s="1" t="s">
        <v>2686</v>
      </c>
      <c r="B719" s="1" t="s">
        <v>466</v>
      </c>
      <c r="C719" s="1" t="s">
        <v>466</v>
      </c>
      <c r="D719" s="1" t="s">
        <v>467</v>
      </c>
      <c r="E719" s="1" t="s">
        <v>22</v>
      </c>
      <c r="F719" s="1" t="s">
        <v>2687</v>
      </c>
      <c r="G719" s="1" t="s">
        <v>403</v>
      </c>
      <c r="H719" s="1" t="s">
        <v>615</v>
      </c>
      <c r="I719" s="1"/>
      <c r="J719" s="2"/>
      <c r="K719" s="3">
        <v>42.339905000000002</v>
      </c>
      <c r="L719" s="3">
        <v>69.558733000000004</v>
      </c>
      <c r="M719" s="1" t="s">
        <v>2688</v>
      </c>
      <c r="N719" s="1" t="s">
        <v>2528</v>
      </c>
      <c r="O719" s="1" t="s">
        <v>1051</v>
      </c>
      <c r="P719" s="1" t="s">
        <v>59</v>
      </c>
      <c r="Q719" s="1" t="s">
        <v>2464</v>
      </c>
      <c r="R719" s="1" t="s">
        <v>61</v>
      </c>
      <c r="S719" s="1"/>
    </row>
    <row r="720" spans="1:19" ht="79.8">
      <c r="A720" s="1" t="s">
        <v>2689</v>
      </c>
      <c r="B720" s="1" t="s">
        <v>2690</v>
      </c>
      <c r="C720" s="1" t="s">
        <v>2690</v>
      </c>
      <c r="D720" s="1" t="s">
        <v>55</v>
      </c>
      <c r="E720" s="1" t="s">
        <v>29</v>
      </c>
      <c r="F720" s="1" t="s">
        <v>2691</v>
      </c>
      <c r="G720" s="1" t="s">
        <v>251</v>
      </c>
      <c r="H720" s="1" t="s">
        <v>2692</v>
      </c>
      <c r="I720" s="1"/>
      <c r="J720" s="2"/>
      <c r="K720" s="3">
        <v>42.33811</v>
      </c>
      <c r="L720" s="3">
        <v>69.634439999999998</v>
      </c>
      <c r="M720" s="1" t="s">
        <v>2693</v>
      </c>
      <c r="N720" s="1" t="s">
        <v>2620</v>
      </c>
      <c r="O720" s="1" t="s">
        <v>1051</v>
      </c>
      <c r="P720" s="1" t="s">
        <v>59</v>
      </c>
      <c r="Q720" s="1" t="s">
        <v>2464</v>
      </c>
      <c r="R720" s="1" t="s">
        <v>61</v>
      </c>
      <c r="S720" s="1"/>
    </row>
    <row r="721" spans="1:19" ht="79.8">
      <c r="A721" s="1" t="s">
        <v>2694</v>
      </c>
      <c r="B721" s="1" t="s">
        <v>515</v>
      </c>
      <c r="C721" s="1" t="s">
        <v>515</v>
      </c>
      <c r="D721" s="1" t="s">
        <v>2695</v>
      </c>
      <c r="E721" s="1" t="s">
        <v>22</v>
      </c>
      <c r="F721" s="1" t="s">
        <v>2696</v>
      </c>
      <c r="G721" s="1" t="s">
        <v>1218</v>
      </c>
      <c r="H721" s="1" t="s">
        <v>2697</v>
      </c>
      <c r="I721" s="1"/>
      <c r="J721" s="2"/>
      <c r="K721" s="3">
        <v>42.396369999999997</v>
      </c>
      <c r="L721" s="3">
        <v>69.663714999999996</v>
      </c>
      <c r="M721" s="1" t="s">
        <v>2698</v>
      </c>
      <c r="N721" s="1" t="s">
        <v>2478</v>
      </c>
      <c r="O721" s="1" t="s">
        <v>1051</v>
      </c>
      <c r="P721" s="1" t="s">
        <v>59</v>
      </c>
      <c r="Q721" s="1" t="s">
        <v>2464</v>
      </c>
      <c r="R721" s="1" t="s">
        <v>61</v>
      </c>
      <c r="S721" s="1" t="s">
        <v>2465</v>
      </c>
    </row>
    <row r="722" spans="1:19" ht="79.8">
      <c r="A722" s="1" t="s">
        <v>2699</v>
      </c>
      <c r="B722" s="1" t="s">
        <v>2700</v>
      </c>
      <c r="C722" s="1" t="s">
        <v>2700</v>
      </c>
      <c r="D722" s="1" t="s">
        <v>55</v>
      </c>
      <c r="E722" s="1" t="s">
        <v>29</v>
      </c>
      <c r="F722" s="1" t="s">
        <v>2701</v>
      </c>
      <c r="G722" s="1" t="s">
        <v>251</v>
      </c>
      <c r="H722" s="1"/>
      <c r="I722" s="1"/>
      <c r="J722" s="2"/>
      <c r="K722" s="3">
        <v>42.299944000000004</v>
      </c>
      <c r="L722" s="3">
        <v>69.608840999999998</v>
      </c>
      <c r="M722" s="1" t="s">
        <v>2702</v>
      </c>
      <c r="N722" s="1" t="s">
        <v>2604</v>
      </c>
      <c r="O722" s="1" t="s">
        <v>1051</v>
      </c>
      <c r="P722" s="1" t="s">
        <v>59</v>
      </c>
      <c r="Q722" s="1" t="s">
        <v>2464</v>
      </c>
      <c r="R722" s="1" t="s">
        <v>61</v>
      </c>
      <c r="S722" s="1"/>
    </row>
    <row r="723" spans="1:19" ht="79.8">
      <c r="A723" s="1" t="s">
        <v>2703</v>
      </c>
      <c r="B723" s="1" t="s">
        <v>2704</v>
      </c>
      <c r="C723" s="1" t="s">
        <v>2704</v>
      </c>
      <c r="D723" s="1" t="s">
        <v>55</v>
      </c>
      <c r="E723" s="1" t="s">
        <v>22</v>
      </c>
      <c r="F723" s="1" t="s">
        <v>2705</v>
      </c>
      <c r="G723" s="1" t="s">
        <v>1218</v>
      </c>
      <c r="H723" s="1" t="s">
        <v>2706</v>
      </c>
      <c r="I723" s="1"/>
      <c r="J723" s="2"/>
      <c r="K723" s="3">
        <v>42.353622000000001</v>
      </c>
      <c r="L723" s="3">
        <v>69.643933000000004</v>
      </c>
      <c r="M723" s="1" t="s">
        <v>2707</v>
      </c>
      <c r="N723" s="1" t="s">
        <v>2651</v>
      </c>
      <c r="O723" s="1" t="s">
        <v>1051</v>
      </c>
      <c r="P723" s="1" t="s">
        <v>59</v>
      </c>
      <c r="Q723" s="1" t="s">
        <v>2464</v>
      </c>
      <c r="R723" s="1" t="s">
        <v>61</v>
      </c>
      <c r="S723" s="1"/>
    </row>
    <row r="724" spans="1:19" ht="79.8">
      <c r="A724" s="1" t="s">
        <v>2708</v>
      </c>
      <c r="B724" s="1" t="s">
        <v>2709</v>
      </c>
      <c r="C724" s="1" t="s">
        <v>2709</v>
      </c>
      <c r="D724" s="1" t="s">
        <v>55</v>
      </c>
      <c r="E724" s="1" t="s">
        <v>22</v>
      </c>
      <c r="F724" s="1" t="s">
        <v>2710</v>
      </c>
      <c r="G724" s="1" t="s">
        <v>403</v>
      </c>
      <c r="H724" s="1" t="s">
        <v>2711</v>
      </c>
      <c r="I724" s="1"/>
      <c r="J724" s="2"/>
      <c r="K724" s="3">
        <v>42.411234999999998</v>
      </c>
      <c r="L724" s="3">
        <v>69.555372000000006</v>
      </c>
      <c r="M724" s="1" t="s">
        <v>2712</v>
      </c>
      <c r="N724" s="1" t="s">
        <v>2495</v>
      </c>
      <c r="O724" s="1" t="s">
        <v>1051</v>
      </c>
      <c r="P724" s="1" t="s">
        <v>59</v>
      </c>
      <c r="Q724" s="1" t="s">
        <v>2464</v>
      </c>
      <c r="R724" s="1" t="s">
        <v>61</v>
      </c>
      <c r="S724" s="1" t="s">
        <v>2465</v>
      </c>
    </row>
    <row r="725" spans="1:19" ht="79.8">
      <c r="A725" s="1" t="s">
        <v>2713</v>
      </c>
      <c r="B725" s="1" t="s">
        <v>2714</v>
      </c>
      <c r="C725" s="1" t="s">
        <v>2714</v>
      </c>
      <c r="D725" s="1" t="s">
        <v>55</v>
      </c>
      <c r="E725" s="1" t="s">
        <v>22</v>
      </c>
      <c r="F725" s="1" t="s">
        <v>2715</v>
      </c>
      <c r="G725" s="1" t="s">
        <v>1218</v>
      </c>
      <c r="H725" s="1" t="s">
        <v>2716</v>
      </c>
      <c r="I725" s="1" t="s">
        <v>2717</v>
      </c>
      <c r="J725" s="2"/>
      <c r="K725" s="3">
        <v>42.407890000000002</v>
      </c>
      <c r="L725" s="3">
        <v>69.633589999999998</v>
      </c>
      <c r="M725" s="1" t="s">
        <v>2718</v>
      </c>
      <c r="N725" s="1" t="s">
        <v>2478</v>
      </c>
      <c r="O725" s="1" t="s">
        <v>1051</v>
      </c>
      <c r="P725" s="1" t="s">
        <v>59</v>
      </c>
      <c r="Q725" s="1" t="s">
        <v>2464</v>
      </c>
      <c r="R725" s="1" t="s">
        <v>61</v>
      </c>
      <c r="S725" s="1"/>
    </row>
    <row r="726" spans="1:19" ht="79.8">
      <c r="A726" s="1" t="s">
        <v>2719</v>
      </c>
      <c r="B726" s="1" t="s">
        <v>2720</v>
      </c>
      <c r="C726" s="1" t="s">
        <v>2720</v>
      </c>
      <c r="D726" s="1" t="s">
        <v>55</v>
      </c>
      <c r="E726" s="1" t="s">
        <v>22</v>
      </c>
      <c r="F726" s="1" t="s">
        <v>2721</v>
      </c>
      <c r="G726" s="1" t="s">
        <v>403</v>
      </c>
      <c r="H726" s="1" t="s">
        <v>2722</v>
      </c>
      <c r="I726" s="1"/>
      <c r="J726" s="2"/>
      <c r="K726" s="3">
        <v>42.415838999999998</v>
      </c>
      <c r="L726" s="3">
        <v>69.623131999999998</v>
      </c>
      <c r="M726" s="1" t="s">
        <v>2723</v>
      </c>
      <c r="N726" s="1" t="s">
        <v>2506</v>
      </c>
      <c r="O726" s="1" t="s">
        <v>1051</v>
      </c>
      <c r="P726" s="1" t="s">
        <v>59</v>
      </c>
      <c r="Q726" s="1" t="s">
        <v>2464</v>
      </c>
      <c r="R726" s="1" t="s">
        <v>61</v>
      </c>
      <c r="S726" s="1"/>
    </row>
    <row r="727" spans="1:19" ht="79.8">
      <c r="A727" s="1" t="s">
        <v>2724</v>
      </c>
      <c r="B727" s="1" t="s">
        <v>2725</v>
      </c>
      <c r="C727" s="1" t="s">
        <v>2725</v>
      </c>
      <c r="D727" s="1" t="s">
        <v>55</v>
      </c>
      <c r="E727" s="1" t="s">
        <v>22</v>
      </c>
      <c r="F727" s="1" t="s">
        <v>2726</v>
      </c>
      <c r="G727" s="1" t="s">
        <v>403</v>
      </c>
      <c r="H727" s="1" t="s">
        <v>2727</v>
      </c>
      <c r="I727" s="1"/>
      <c r="J727" s="2"/>
      <c r="K727" s="3">
        <v>42.410603000000002</v>
      </c>
      <c r="L727" s="3">
        <v>69.614700999999997</v>
      </c>
      <c r="M727" s="1" t="s">
        <v>2728</v>
      </c>
      <c r="N727" s="1" t="s">
        <v>2470</v>
      </c>
      <c r="O727" s="1" t="s">
        <v>1051</v>
      </c>
      <c r="P727" s="1" t="s">
        <v>59</v>
      </c>
      <c r="Q727" s="1" t="s">
        <v>2464</v>
      </c>
      <c r="R727" s="1" t="s">
        <v>61</v>
      </c>
      <c r="S727" s="1"/>
    </row>
    <row r="728" spans="1:19" ht="79.8">
      <c r="A728" s="1" t="s">
        <v>2729</v>
      </c>
      <c r="B728" s="1" t="s">
        <v>2730</v>
      </c>
      <c r="C728" s="1" t="s">
        <v>2730</v>
      </c>
      <c r="D728" s="1" t="s">
        <v>55</v>
      </c>
      <c r="E728" s="1" t="s">
        <v>22</v>
      </c>
      <c r="F728" s="1" t="s">
        <v>2731</v>
      </c>
      <c r="G728" s="1" t="s">
        <v>403</v>
      </c>
      <c r="H728" s="1" t="s">
        <v>2732</v>
      </c>
      <c r="I728" s="1"/>
      <c r="J728" s="2"/>
      <c r="K728" s="3">
        <v>42.381174000000001</v>
      </c>
      <c r="L728" s="3">
        <v>69.600981000000004</v>
      </c>
      <c r="M728" s="1" t="s">
        <v>2733</v>
      </c>
      <c r="N728" s="1" t="s">
        <v>2495</v>
      </c>
      <c r="O728" s="1" t="s">
        <v>1051</v>
      </c>
      <c r="P728" s="1" t="s">
        <v>59</v>
      </c>
      <c r="Q728" s="1" t="s">
        <v>2464</v>
      </c>
      <c r="R728" s="1" t="s">
        <v>61</v>
      </c>
      <c r="S728" s="1" t="s">
        <v>2734</v>
      </c>
    </row>
    <row r="729" spans="1:19" ht="79.8">
      <c r="A729" s="1" t="s">
        <v>2735</v>
      </c>
      <c r="B729" s="1" t="s">
        <v>2736</v>
      </c>
      <c r="C729" s="1" t="s">
        <v>2736</v>
      </c>
      <c r="D729" s="1" t="s">
        <v>55</v>
      </c>
      <c r="E729" s="1" t="s">
        <v>22</v>
      </c>
      <c r="F729" s="1" t="s">
        <v>2737</v>
      </c>
      <c r="G729" s="1" t="s">
        <v>403</v>
      </c>
      <c r="H729" s="1" t="s">
        <v>2738</v>
      </c>
      <c r="I729" s="1"/>
      <c r="J729" s="2"/>
      <c r="K729" s="3">
        <v>42.366754999999998</v>
      </c>
      <c r="L729" s="3">
        <v>69.545310999999998</v>
      </c>
      <c r="M729" s="1" t="s">
        <v>2739</v>
      </c>
      <c r="N729" s="1" t="s">
        <v>2470</v>
      </c>
      <c r="O729" s="1" t="s">
        <v>1051</v>
      </c>
      <c r="P729" s="1" t="s">
        <v>59</v>
      </c>
      <c r="Q729" s="1" t="s">
        <v>2464</v>
      </c>
      <c r="R729" s="1" t="s">
        <v>61</v>
      </c>
      <c r="S729" s="1" t="s">
        <v>2465</v>
      </c>
    </row>
    <row r="730" spans="1:19" ht="79.8">
      <c r="A730" s="1" t="s">
        <v>2740</v>
      </c>
      <c r="B730" s="1" t="s">
        <v>645</v>
      </c>
      <c r="C730" s="1" t="s">
        <v>645</v>
      </c>
      <c r="D730" s="1" t="s">
        <v>55</v>
      </c>
      <c r="E730" s="1" t="s">
        <v>22</v>
      </c>
      <c r="F730" s="1" t="s">
        <v>2741</v>
      </c>
      <c r="G730" s="1" t="s">
        <v>1218</v>
      </c>
      <c r="H730" s="1" t="s">
        <v>2742</v>
      </c>
      <c r="I730" s="1"/>
      <c r="J730" s="2"/>
      <c r="K730" s="3">
        <v>42.351520999999998</v>
      </c>
      <c r="L730" s="3">
        <v>69.657702999999998</v>
      </c>
      <c r="M730" s="1" t="s">
        <v>2743</v>
      </c>
      <c r="N730" s="1" t="s">
        <v>2478</v>
      </c>
      <c r="O730" s="1" t="s">
        <v>1051</v>
      </c>
      <c r="P730" s="1" t="s">
        <v>59</v>
      </c>
      <c r="Q730" s="1" t="s">
        <v>2464</v>
      </c>
      <c r="R730" s="1" t="s">
        <v>61</v>
      </c>
      <c r="S730" s="1" t="s">
        <v>2465</v>
      </c>
    </row>
    <row r="731" spans="1:19" ht="79.8">
      <c r="A731" s="1" t="s">
        <v>2744</v>
      </c>
      <c r="B731" s="1" t="s">
        <v>2745</v>
      </c>
      <c r="C731" s="1" t="s">
        <v>2745</v>
      </c>
      <c r="D731" s="1" t="s">
        <v>55</v>
      </c>
      <c r="E731" s="1" t="s">
        <v>27</v>
      </c>
      <c r="F731" s="1" t="s">
        <v>2746</v>
      </c>
      <c r="G731" s="1" t="s">
        <v>614</v>
      </c>
      <c r="H731" s="1" t="s">
        <v>2747</v>
      </c>
      <c r="I731" s="1"/>
      <c r="J731" s="2"/>
      <c r="K731" s="3">
        <v>42.292124999999999</v>
      </c>
      <c r="L731" s="3">
        <v>69.559096999999994</v>
      </c>
      <c r="M731" s="1" t="s">
        <v>2748</v>
      </c>
      <c r="N731" s="1" t="s">
        <v>2594</v>
      </c>
      <c r="O731" s="1" t="s">
        <v>1051</v>
      </c>
      <c r="P731" s="1" t="s">
        <v>59</v>
      </c>
      <c r="Q731" s="1" t="s">
        <v>2464</v>
      </c>
      <c r="R731" s="1" t="s">
        <v>61</v>
      </c>
      <c r="S731" s="1"/>
    </row>
    <row r="732" spans="1:19" ht="79.8">
      <c r="A732" s="1" t="s">
        <v>2749</v>
      </c>
      <c r="B732" s="1" t="s">
        <v>2750</v>
      </c>
      <c r="C732" s="1" t="s">
        <v>2750</v>
      </c>
      <c r="D732" s="1" t="s">
        <v>55</v>
      </c>
      <c r="E732" s="1" t="s">
        <v>22</v>
      </c>
      <c r="F732" s="1" t="s">
        <v>2751</v>
      </c>
      <c r="G732" s="1" t="s">
        <v>1218</v>
      </c>
      <c r="H732" s="1" t="s">
        <v>2752</v>
      </c>
      <c r="I732" s="1"/>
      <c r="J732" s="2"/>
      <c r="K732" s="3">
        <v>42.361946000000003</v>
      </c>
      <c r="L732" s="3">
        <v>69.623558000000003</v>
      </c>
      <c r="M732" s="1" t="s">
        <v>2753</v>
      </c>
      <c r="N732" s="1" t="s">
        <v>2645</v>
      </c>
      <c r="O732" s="1" t="s">
        <v>1051</v>
      </c>
      <c r="P732" s="1" t="s">
        <v>59</v>
      </c>
      <c r="Q732" s="1" t="s">
        <v>2464</v>
      </c>
      <c r="R732" s="1" t="s">
        <v>61</v>
      </c>
      <c r="S732" s="1"/>
    </row>
    <row r="733" spans="1:19" ht="79.8">
      <c r="A733" s="1" t="s">
        <v>2754</v>
      </c>
      <c r="B733" s="1" t="s">
        <v>2755</v>
      </c>
      <c r="C733" s="1" t="s">
        <v>2755</v>
      </c>
      <c r="D733" s="1" t="s">
        <v>55</v>
      </c>
      <c r="E733" s="1" t="s">
        <v>27</v>
      </c>
      <c r="F733" s="1" t="s">
        <v>2756</v>
      </c>
      <c r="G733" s="1" t="s">
        <v>1218</v>
      </c>
      <c r="H733" s="1" t="s">
        <v>2757</v>
      </c>
      <c r="I733" s="1"/>
      <c r="J733" s="2"/>
      <c r="K733" s="3">
        <v>42.371070000000003</v>
      </c>
      <c r="L733" s="3">
        <v>69.669916000000001</v>
      </c>
      <c r="M733" s="1" t="s">
        <v>2758</v>
      </c>
      <c r="N733" s="1" t="s">
        <v>2484</v>
      </c>
      <c r="O733" s="1" t="s">
        <v>1051</v>
      </c>
      <c r="P733" s="1" t="s">
        <v>59</v>
      </c>
      <c r="Q733" s="1" t="s">
        <v>2464</v>
      </c>
      <c r="R733" s="1" t="s">
        <v>61</v>
      </c>
      <c r="S733" s="1" t="s">
        <v>2465</v>
      </c>
    </row>
    <row r="734" spans="1:19" ht="79.8">
      <c r="A734" s="1" t="s">
        <v>2759</v>
      </c>
      <c r="B734" s="1" t="s">
        <v>678</v>
      </c>
      <c r="C734" s="1" t="s">
        <v>678</v>
      </c>
      <c r="D734" s="1" t="s">
        <v>1134</v>
      </c>
      <c r="E734" s="1" t="s">
        <v>22</v>
      </c>
      <c r="F734" s="1" t="s">
        <v>2760</v>
      </c>
      <c r="G734" s="1" t="s">
        <v>1218</v>
      </c>
      <c r="H734" s="1" t="s">
        <v>2761</v>
      </c>
      <c r="I734" s="1"/>
      <c r="J734" s="2"/>
      <c r="K734" s="3">
        <v>42.374853000000002</v>
      </c>
      <c r="L734" s="3">
        <v>69.654411999999994</v>
      </c>
      <c r="M734" s="1" t="s">
        <v>2762</v>
      </c>
      <c r="N734" s="1" t="s">
        <v>2645</v>
      </c>
      <c r="O734" s="1" t="s">
        <v>1051</v>
      </c>
      <c r="P734" s="1" t="s">
        <v>59</v>
      </c>
      <c r="Q734" s="1" t="s">
        <v>2464</v>
      </c>
      <c r="R734" s="1" t="s">
        <v>61</v>
      </c>
      <c r="S734" s="1" t="s">
        <v>2614</v>
      </c>
    </row>
    <row r="735" spans="1:19" ht="79.8">
      <c r="A735" s="1" t="s">
        <v>2763</v>
      </c>
      <c r="B735" s="1" t="s">
        <v>685</v>
      </c>
      <c r="C735" s="1" t="s">
        <v>685</v>
      </c>
      <c r="D735" s="1" t="s">
        <v>686</v>
      </c>
      <c r="E735" s="1" t="s">
        <v>27</v>
      </c>
      <c r="F735" s="1" t="s">
        <v>2764</v>
      </c>
      <c r="G735" s="1" t="s">
        <v>1218</v>
      </c>
      <c r="H735" s="1" t="s">
        <v>1072</v>
      </c>
      <c r="I735" s="1"/>
      <c r="J735" s="2"/>
      <c r="K735" s="3">
        <v>42.368327000000001</v>
      </c>
      <c r="L735" s="3">
        <v>69.670563000000001</v>
      </c>
      <c r="M735" s="1" t="s">
        <v>2765</v>
      </c>
      <c r="N735" s="1" t="s">
        <v>2484</v>
      </c>
      <c r="O735" s="1" t="s">
        <v>1051</v>
      </c>
      <c r="P735" s="1" t="s">
        <v>59</v>
      </c>
      <c r="Q735" s="1" t="s">
        <v>2464</v>
      </c>
      <c r="R735" s="1" t="s">
        <v>61</v>
      </c>
      <c r="S735" s="1"/>
    </row>
    <row r="736" spans="1:19" ht="79.8">
      <c r="A736" s="1" t="s">
        <v>2766</v>
      </c>
      <c r="B736" s="1" t="s">
        <v>2767</v>
      </c>
      <c r="C736" s="1" t="s">
        <v>2767</v>
      </c>
      <c r="D736" s="1" t="s">
        <v>2768</v>
      </c>
      <c r="E736" s="1" t="s">
        <v>22</v>
      </c>
      <c r="F736" s="1" t="s">
        <v>2769</v>
      </c>
      <c r="G736" s="1" t="s">
        <v>614</v>
      </c>
      <c r="H736" s="1" t="s">
        <v>2770</v>
      </c>
      <c r="I736" s="1"/>
      <c r="J736" s="2"/>
      <c r="K736" s="3">
        <v>42.322702</v>
      </c>
      <c r="L736" s="3">
        <v>69.586169999999996</v>
      </c>
      <c r="M736" s="1" t="s">
        <v>2771</v>
      </c>
      <c r="N736" s="1" t="s">
        <v>2489</v>
      </c>
      <c r="O736" s="1" t="s">
        <v>1051</v>
      </c>
      <c r="P736" s="1" t="s">
        <v>59</v>
      </c>
      <c r="Q736" s="1" t="s">
        <v>2464</v>
      </c>
      <c r="R736" s="1" t="s">
        <v>61</v>
      </c>
      <c r="S736" s="1"/>
    </row>
    <row r="737" spans="1:19" ht="79.8">
      <c r="A737" s="1" t="s">
        <v>2772</v>
      </c>
      <c r="B737" s="1" t="s">
        <v>2773</v>
      </c>
      <c r="C737" s="1" t="s">
        <v>2773</v>
      </c>
      <c r="D737" s="1" t="s">
        <v>2774</v>
      </c>
      <c r="E737" s="1" t="s">
        <v>22</v>
      </c>
      <c r="F737" s="1" t="s">
        <v>2775</v>
      </c>
      <c r="G737" s="1" t="s">
        <v>1218</v>
      </c>
      <c r="H737" s="1" t="s">
        <v>2776</v>
      </c>
      <c r="I737" s="1"/>
      <c r="J737" s="2"/>
      <c r="K737" s="3">
        <v>42.353692000000002</v>
      </c>
      <c r="L737" s="3">
        <v>69.641304000000005</v>
      </c>
      <c r="M737" s="1" t="s">
        <v>2777</v>
      </c>
      <c r="N737" s="1" t="s">
        <v>2651</v>
      </c>
      <c r="O737" s="1" t="s">
        <v>1051</v>
      </c>
      <c r="P737" s="1" t="s">
        <v>59</v>
      </c>
      <c r="Q737" s="1" t="s">
        <v>2464</v>
      </c>
      <c r="R737" s="1" t="s">
        <v>61</v>
      </c>
      <c r="S737" s="1" t="s">
        <v>2465</v>
      </c>
    </row>
    <row r="738" spans="1:19" ht="79.8">
      <c r="A738" s="1" t="s">
        <v>2778</v>
      </c>
      <c r="B738" s="1" t="s">
        <v>2779</v>
      </c>
      <c r="C738" s="1" t="s">
        <v>2779</v>
      </c>
      <c r="D738" s="1" t="s">
        <v>2780</v>
      </c>
      <c r="E738" s="1" t="s">
        <v>22</v>
      </c>
      <c r="F738" s="1" t="s">
        <v>2781</v>
      </c>
      <c r="G738" s="1" t="s">
        <v>1218</v>
      </c>
      <c r="H738" s="1" t="s">
        <v>2782</v>
      </c>
      <c r="I738" s="1" t="s">
        <v>2783</v>
      </c>
      <c r="J738" s="2"/>
      <c r="K738" s="3">
        <v>42.381656</v>
      </c>
      <c r="L738" s="3">
        <v>69.629409999999993</v>
      </c>
      <c r="M738" s="1" t="s">
        <v>2784</v>
      </c>
      <c r="N738" s="1" t="s">
        <v>2651</v>
      </c>
      <c r="O738" s="1" t="s">
        <v>1051</v>
      </c>
      <c r="P738" s="1" t="s">
        <v>59</v>
      </c>
      <c r="Q738" s="1" t="s">
        <v>2464</v>
      </c>
      <c r="R738" s="1" t="s">
        <v>61</v>
      </c>
      <c r="S738" s="1" t="s">
        <v>2465</v>
      </c>
    </row>
    <row r="739" spans="1:19" ht="79.8">
      <c r="A739" s="1" t="s">
        <v>2785</v>
      </c>
      <c r="B739" s="1" t="s">
        <v>1139</v>
      </c>
      <c r="C739" s="1" t="s">
        <v>1139</v>
      </c>
      <c r="D739" s="1" t="s">
        <v>1140</v>
      </c>
      <c r="E739" s="1" t="s">
        <v>29</v>
      </c>
      <c r="F739" s="1" t="s">
        <v>2786</v>
      </c>
      <c r="G739" s="1" t="s">
        <v>403</v>
      </c>
      <c r="H739" s="1" t="s">
        <v>2787</v>
      </c>
      <c r="I739" s="1"/>
      <c r="J739" s="2"/>
      <c r="K739" s="3">
        <v>42.396493</v>
      </c>
      <c r="L739" s="3">
        <v>69.559864000000005</v>
      </c>
      <c r="M739" s="1" t="s">
        <v>2788</v>
      </c>
      <c r="N739" s="1" t="s">
        <v>2506</v>
      </c>
      <c r="O739" s="1" t="s">
        <v>1051</v>
      </c>
      <c r="P739" s="1" t="s">
        <v>59</v>
      </c>
      <c r="Q739" s="1" t="s">
        <v>2464</v>
      </c>
      <c r="R739" s="1" t="s">
        <v>61</v>
      </c>
      <c r="S739" s="1"/>
    </row>
    <row r="740" spans="1:19" ht="79.8">
      <c r="A740" s="1" t="s">
        <v>2789</v>
      </c>
      <c r="B740" s="1" t="s">
        <v>1070</v>
      </c>
      <c r="C740" s="1" t="s">
        <v>1070</v>
      </c>
      <c r="D740" s="1" t="s">
        <v>2790</v>
      </c>
      <c r="E740" s="1" t="s">
        <v>22</v>
      </c>
      <c r="F740" s="1" t="s">
        <v>2791</v>
      </c>
      <c r="G740" s="1" t="s">
        <v>1218</v>
      </c>
      <c r="H740" s="1" t="s">
        <v>2792</v>
      </c>
      <c r="I740" s="1" t="s">
        <v>2793</v>
      </c>
      <c r="J740" s="2"/>
      <c r="K740" s="3">
        <v>42.395180000000003</v>
      </c>
      <c r="L740" s="3">
        <v>69.687556999999998</v>
      </c>
      <c r="M740" s="1" t="s">
        <v>2794</v>
      </c>
      <c r="N740" s="1" t="s">
        <v>2478</v>
      </c>
      <c r="O740" s="1" t="s">
        <v>1051</v>
      </c>
      <c r="P740" s="1" t="s">
        <v>59</v>
      </c>
      <c r="Q740" s="1" t="s">
        <v>2464</v>
      </c>
      <c r="R740" s="1" t="s">
        <v>61</v>
      </c>
      <c r="S740" s="1" t="s">
        <v>2614</v>
      </c>
    </row>
    <row r="741" spans="1:19" ht="79.8">
      <c r="A741" s="1" t="s">
        <v>2795</v>
      </c>
      <c r="B741" s="1" t="s">
        <v>27</v>
      </c>
      <c r="C741" s="1" t="s">
        <v>27</v>
      </c>
      <c r="D741" s="1" t="s">
        <v>55</v>
      </c>
      <c r="E741" s="1" t="s">
        <v>22</v>
      </c>
      <c r="F741" s="1" t="s">
        <v>2796</v>
      </c>
      <c r="G741" s="1" t="s">
        <v>614</v>
      </c>
      <c r="H741" s="1" t="s">
        <v>2797</v>
      </c>
      <c r="I741" s="1"/>
      <c r="J741" s="2"/>
      <c r="K741" s="3">
        <v>42.325248000000002</v>
      </c>
      <c r="L741" s="3">
        <v>69.536237999999997</v>
      </c>
      <c r="M741" s="1" t="s">
        <v>2798</v>
      </c>
      <c r="N741" s="1" t="s">
        <v>2489</v>
      </c>
      <c r="O741" s="1" t="s">
        <v>1051</v>
      </c>
      <c r="P741" s="1" t="s">
        <v>59</v>
      </c>
      <c r="Q741" s="1" t="s">
        <v>2464</v>
      </c>
      <c r="R741" s="1" t="s">
        <v>61</v>
      </c>
      <c r="S741" s="1"/>
    </row>
    <row r="742" spans="1:19" ht="79.8">
      <c r="A742" s="1" t="s">
        <v>2799</v>
      </c>
      <c r="B742" s="1" t="s">
        <v>726</v>
      </c>
      <c r="C742" s="1" t="s">
        <v>726</v>
      </c>
      <c r="D742" s="1" t="s">
        <v>2800</v>
      </c>
      <c r="E742" s="1" t="s">
        <v>27</v>
      </c>
      <c r="F742" s="1" t="s">
        <v>2801</v>
      </c>
      <c r="G742" s="1" t="s">
        <v>614</v>
      </c>
      <c r="H742" s="1" t="s">
        <v>2802</v>
      </c>
      <c r="I742" s="1"/>
      <c r="J742" s="2"/>
      <c r="K742" s="3">
        <v>42.291324000000003</v>
      </c>
      <c r="L742" s="3">
        <v>69.565382999999997</v>
      </c>
      <c r="M742" s="1" t="s">
        <v>2803</v>
      </c>
      <c r="N742" s="1" t="s">
        <v>2489</v>
      </c>
      <c r="O742" s="1" t="s">
        <v>1051</v>
      </c>
      <c r="P742" s="1" t="s">
        <v>59</v>
      </c>
      <c r="Q742" s="1" t="s">
        <v>2464</v>
      </c>
      <c r="R742" s="1" t="s">
        <v>61</v>
      </c>
      <c r="S742" s="1"/>
    </row>
    <row r="743" spans="1:19" ht="79.8">
      <c r="A743" s="1" t="s">
        <v>2804</v>
      </c>
      <c r="B743" s="1" t="s">
        <v>1265</v>
      </c>
      <c r="C743" s="1" t="s">
        <v>1265</v>
      </c>
      <c r="D743" s="1" t="s">
        <v>1266</v>
      </c>
      <c r="E743" s="1" t="s">
        <v>22</v>
      </c>
      <c r="F743" s="1" t="s">
        <v>2805</v>
      </c>
      <c r="G743" s="1" t="s">
        <v>1218</v>
      </c>
      <c r="H743" s="1" t="s">
        <v>2806</v>
      </c>
      <c r="I743" s="1" t="s">
        <v>2807</v>
      </c>
      <c r="J743" s="2"/>
      <c r="K743" s="3">
        <v>42.389448000000002</v>
      </c>
      <c r="L743" s="3">
        <v>69.629508999999999</v>
      </c>
      <c r="M743" s="1" t="s">
        <v>2808</v>
      </c>
      <c r="N743" s="1" t="s">
        <v>2651</v>
      </c>
      <c r="O743" s="1" t="s">
        <v>1051</v>
      </c>
      <c r="P743" s="1" t="s">
        <v>59</v>
      </c>
      <c r="Q743" s="1" t="s">
        <v>2464</v>
      </c>
      <c r="R743" s="1" t="s">
        <v>61</v>
      </c>
      <c r="S743" s="1" t="s">
        <v>2614</v>
      </c>
    </row>
    <row r="744" spans="1:19" ht="79.8">
      <c r="A744" s="1" t="s">
        <v>2809</v>
      </c>
      <c r="B744" s="1" t="s">
        <v>2810</v>
      </c>
      <c r="C744" s="1" t="s">
        <v>2810</v>
      </c>
      <c r="D744" s="1" t="s">
        <v>55</v>
      </c>
      <c r="E744" s="1" t="s">
        <v>27</v>
      </c>
      <c r="F744" s="1" t="s">
        <v>2811</v>
      </c>
      <c r="G744" s="1" t="s">
        <v>614</v>
      </c>
      <c r="H744" s="1" t="s">
        <v>2812</v>
      </c>
      <c r="I744" s="1"/>
      <c r="J744" s="2"/>
      <c r="K744" s="3">
        <v>42.325555999999999</v>
      </c>
      <c r="L744" s="3">
        <v>69.545725000000004</v>
      </c>
      <c r="M744" s="1" t="s">
        <v>2813</v>
      </c>
      <c r="N744" s="1" t="s">
        <v>2489</v>
      </c>
      <c r="O744" s="1" t="s">
        <v>1051</v>
      </c>
      <c r="P744" s="1" t="s">
        <v>59</v>
      </c>
      <c r="Q744" s="1" t="s">
        <v>2464</v>
      </c>
      <c r="R744" s="1" t="s">
        <v>61</v>
      </c>
      <c r="S744" s="1"/>
    </row>
    <row r="745" spans="1:19" ht="79.8">
      <c r="A745" s="1" t="s">
        <v>2814</v>
      </c>
      <c r="B745" s="1" t="s">
        <v>1273</v>
      </c>
      <c r="C745" s="1" t="s">
        <v>1273</v>
      </c>
      <c r="D745" s="1" t="s">
        <v>2815</v>
      </c>
      <c r="E745" s="1" t="s">
        <v>22</v>
      </c>
      <c r="F745" s="1" t="s">
        <v>2816</v>
      </c>
      <c r="G745" s="1" t="s">
        <v>614</v>
      </c>
      <c r="H745" s="1" t="s">
        <v>1164</v>
      </c>
      <c r="I745" s="1"/>
      <c r="J745" s="2"/>
      <c r="K745" s="3">
        <v>42.310820999999997</v>
      </c>
      <c r="L745" s="3">
        <v>69.550877</v>
      </c>
      <c r="M745" s="1" t="s">
        <v>2817</v>
      </c>
      <c r="N745" s="1" t="s">
        <v>2594</v>
      </c>
      <c r="O745" s="1" t="s">
        <v>1051</v>
      </c>
      <c r="P745" s="1" t="s">
        <v>59</v>
      </c>
      <c r="Q745" s="1" t="s">
        <v>2464</v>
      </c>
      <c r="R745" s="1" t="s">
        <v>61</v>
      </c>
      <c r="S745" s="1"/>
    </row>
    <row r="746" spans="1:19" ht="79.8">
      <c r="A746" s="1" t="s">
        <v>2818</v>
      </c>
      <c r="B746" s="1" t="s">
        <v>2819</v>
      </c>
      <c r="C746" s="1" t="s">
        <v>2819</v>
      </c>
      <c r="D746" s="1" t="s">
        <v>55</v>
      </c>
      <c r="E746" s="1" t="s">
        <v>29</v>
      </c>
      <c r="F746" s="1" t="s">
        <v>2820</v>
      </c>
      <c r="G746" s="1" t="s">
        <v>403</v>
      </c>
      <c r="H746" s="1" t="s">
        <v>615</v>
      </c>
      <c r="I746" s="1"/>
      <c r="J746" s="2"/>
      <c r="K746" s="3">
        <v>42.422578000000001</v>
      </c>
      <c r="L746" s="3">
        <v>69.572496000000001</v>
      </c>
      <c r="M746" s="1" t="s">
        <v>2821</v>
      </c>
      <c r="N746" s="1" t="s">
        <v>2528</v>
      </c>
      <c r="O746" s="1" t="s">
        <v>1051</v>
      </c>
      <c r="P746" s="1" t="s">
        <v>59</v>
      </c>
      <c r="Q746" s="1" t="s">
        <v>2464</v>
      </c>
      <c r="R746" s="1" t="s">
        <v>61</v>
      </c>
      <c r="S746" s="1"/>
    </row>
    <row r="747" spans="1:19" ht="79.8">
      <c r="A747" s="1" t="s">
        <v>2822</v>
      </c>
      <c r="B747" s="1" t="s">
        <v>2823</v>
      </c>
      <c r="C747" s="1" t="s">
        <v>2823</v>
      </c>
      <c r="D747" s="1" t="s">
        <v>55</v>
      </c>
      <c r="E747" s="1" t="s">
        <v>22</v>
      </c>
      <c r="F747" s="1" t="s">
        <v>2824</v>
      </c>
      <c r="G747" s="1" t="s">
        <v>1218</v>
      </c>
      <c r="H747" s="1"/>
      <c r="I747" s="1"/>
      <c r="J747" s="2"/>
      <c r="K747" s="3">
        <v>42.320802</v>
      </c>
      <c r="L747" s="3">
        <v>69.724372000000002</v>
      </c>
      <c r="M747" s="1" t="s">
        <v>2825</v>
      </c>
      <c r="N747" s="1" t="s">
        <v>2484</v>
      </c>
      <c r="O747" s="1" t="s">
        <v>1051</v>
      </c>
      <c r="P747" s="1" t="s">
        <v>59</v>
      </c>
      <c r="Q747" s="1" t="s">
        <v>2464</v>
      </c>
      <c r="R747" s="1" t="s">
        <v>61</v>
      </c>
      <c r="S747" s="1"/>
    </row>
    <row r="748" spans="1:19" ht="79.8">
      <c r="A748" s="1" t="s">
        <v>2826</v>
      </c>
      <c r="B748" s="1" t="s">
        <v>809</v>
      </c>
      <c r="C748" s="1" t="s">
        <v>809</v>
      </c>
      <c r="D748" s="1" t="s">
        <v>809</v>
      </c>
      <c r="E748" s="1" t="s">
        <v>22</v>
      </c>
      <c r="F748" s="1" t="s">
        <v>2827</v>
      </c>
      <c r="G748" s="1" t="s">
        <v>1218</v>
      </c>
      <c r="H748" s="1" t="s">
        <v>2828</v>
      </c>
      <c r="I748" s="1" t="s">
        <v>2829</v>
      </c>
      <c r="J748" s="2">
        <v>2</v>
      </c>
      <c r="K748" s="3">
        <v>42.359324000000001</v>
      </c>
      <c r="L748" s="3">
        <v>69.637394999999998</v>
      </c>
      <c r="M748" s="1" t="s">
        <v>2830</v>
      </c>
      <c r="N748" s="1" t="s">
        <v>2645</v>
      </c>
      <c r="O748" s="1" t="s">
        <v>1065</v>
      </c>
      <c r="P748" s="1" t="s">
        <v>59</v>
      </c>
      <c r="Q748" s="1" t="s">
        <v>2464</v>
      </c>
      <c r="R748" s="1" t="s">
        <v>61</v>
      </c>
      <c r="S748" s="1" t="s">
        <v>2471</v>
      </c>
    </row>
    <row r="749" spans="1:19" ht="79.8">
      <c r="A749" s="1" t="s">
        <v>2831</v>
      </c>
      <c r="B749" s="1" t="s">
        <v>2832</v>
      </c>
      <c r="C749" s="1" t="s">
        <v>2832</v>
      </c>
      <c r="D749" s="1" t="s">
        <v>55</v>
      </c>
      <c r="E749" s="1" t="s">
        <v>22</v>
      </c>
      <c r="F749" s="1" t="s">
        <v>2833</v>
      </c>
      <c r="G749" s="1" t="s">
        <v>1218</v>
      </c>
      <c r="H749" s="1" t="s">
        <v>2834</v>
      </c>
      <c r="I749" s="1"/>
      <c r="J749" s="2"/>
      <c r="K749" s="3">
        <v>42.360391999999997</v>
      </c>
      <c r="L749" s="3">
        <v>69.655242999999999</v>
      </c>
      <c r="M749" s="1" t="s">
        <v>2835</v>
      </c>
      <c r="N749" s="1" t="s">
        <v>2651</v>
      </c>
      <c r="O749" s="1" t="s">
        <v>1051</v>
      </c>
      <c r="P749" s="1" t="s">
        <v>59</v>
      </c>
      <c r="Q749" s="1" t="s">
        <v>2464</v>
      </c>
      <c r="R749" s="1" t="s">
        <v>61</v>
      </c>
      <c r="S749" s="1" t="s">
        <v>2465</v>
      </c>
    </row>
    <row r="750" spans="1:19" ht="79.8">
      <c r="A750" s="1" t="s">
        <v>2836</v>
      </c>
      <c r="B750" s="1" t="s">
        <v>2832</v>
      </c>
      <c r="C750" s="1" t="s">
        <v>2832</v>
      </c>
      <c r="D750" s="1" t="s">
        <v>55</v>
      </c>
      <c r="E750" s="1" t="s">
        <v>22</v>
      </c>
      <c r="F750" s="1" t="s">
        <v>2837</v>
      </c>
      <c r="G750" s="1" t="s">
        <v>403</v>
      </c>
      <c r="H750" s="1" t="s">
        <v>2838</v>
      </c>
      <c r="I750" s="1"/>
      <c r="J750" s="2"/>
      <c r="K750" s="3">
        <v>42.402293999999998</v>
      </c>
      <c r="L750" s="3">
        <v>69.627548000000004</v>
      </c>
      <c r="M750" s="1" t="s">
        <v>2839</v>
      </c>
      <c r="N750" s="1" t="s">
        <v>2495</v>
      </c>
      <c r="O750" s="1" t="s">
        <v>1051</v>
      </c>
      <c r="P750" s="1" t="s">
        <v>59</v>
      </c>
      <c r="Q750" s="1" t="s">
        <v>2464</v>
      </c>
      <c r="R750" s="1" t="s">
        <v>61</v>
      </c>
      <c r="S750" s="1"/>
    </row>
    <row r="751" spans="1:19" ht="79.8">
      <c r="A751" s="1" t="s">
        <v>2840</v>
      </c>
      <c r="B751" s="1" t="s">
        <v>2841</v>
      </c>
      <c r="C751" s="1" t="s">
        <v>2841</v>
      </c>
      <c r="D751" s="1" t="s">
        <v>55</v>
      </c>
      <c r="E751" s="1" t="s">
        <v>22</v>
      </c>
      <c r="F751" s="1" t="s">
        <v>2842</v>
      </c>
      <c r="G751" s="1" t="s">
        <v>251</v>
      </c>
      <c r="H751" s="1" t="s">
        <v>2843</v>
      </c>
      <c r="I751" s="1" t="s">
        <v>2844</v>
      </c>
      <c r="J751" s="2"/>
      <c r="K751" s="3">
        <v>42.325308999999997</v>
      </c>
      <c r="L751" s="3">
        <v>69.591294000000005</v>
      </c>
      <c r="M751" s="1" t="s">
        <v>2845</v>
      </c>
      <c r="N751" s="1" t="s">
        <v>1159</v>
      </c>
      <c r="O751" s="1" t="s">
        <v>1051</v>
      </c>
      <c r="P751" s="1" t="s">
        <v>59</v>
      </c>
      <c r="Q751" s="1" t="s">
        <v>2464</v>
      </c>
      <c r="R751" s="1" t="s">
        <v>61</v>
      </c>
      <c r="S751" s="1" t="s">
        <v>2465</v>
      </c>
    </row>
    <row r="752" spans="1:19" ht="79.8">
      <c r="A752" s="1" t="s">
        <v>2846</v>
      </c>
      <c r="B752" s="1" t="s">
        <v>2847</v>
      </c>
      <c r="C752" s="1" t="s">
        <v>2847</v>
      </c>
      <c r="D752" s="1" t="s">
        <v>55</v>
      </c>
      <c r="E752" s="1" t="s">
        <v>27</v>
      </c>
      <c r="F752" s="1" t="s">
        <v>2848</v>
      </c>
      <c r="G752" s="1" t="s">
        <v>1295</v>
      </c>
      <c r="H752" s="1" t="s">
        <v>2849</v>
      </c>
      <c r="I752" s="1"/>
      <c r="J752" s="2"/>
      <c r="K752" s="3">
        <v>42.287331999999999</v>
      </c>
      <c r="L752" s="3">
        <v>69.765506999999999</v>
      </c>
      <c r="M752" s="1" t="s">
        <v>2850</v>
      </c>
      <c r="N752" s="1" t="s">
        <v>2561</v>
      </c>
      <c r="O752" s="1" t="s">
        <v>1051</v>
      </c>
      <c r="P752" s="1" t="s">
        <v>59</v>
      </c>
      <c r="Q752" s="1" t="s">
        <v>2464</v>
      </c>
      <c r="R752" s="1" t="s">
        <v>61</v>
      </c>
      <c r="S752" s="1"/>
    </row>
    <row r="753" spans="1:19" ht="79.8">
      <c r="A753" s="1" t="s">
        <v>2851</v>
      </c>
      <c r="B753" s="1" t="s">
        <v>2852</v>
      </c>
      <c r="C753" s="1" t="s">
        <v>2852</v>
      </c>
      <c r="D753" s="1" t="s">
        <v>55</v>
      </c>
      <c r="E753" s="1" t="s">
        <v>22</v>
      </c>
      <c r="F753" s="1" t="s">
        <v>2853</v>
      </c>
      <c r="G753" s="1" t="s">
        <v>614</v>
      </c>
      <c r="H753" s="1" t="s">
        <v>2854</v>
      </c>
      <c r="I753" s="1"/>
      <c r="J753" s="2"/>
      <c r="K753" s="3">
        <v>42.288637000000001</v>
      </c>
      <c r="L753" s="3">
        <v>69.546666999999999</v>
      </c>
      <c r="M753" s="1" t="s">
        <v>2855</v>
      </c>
      <c r="N753" s="1" t="s">
        <v>2500</v>
      </c>
      <c r="O753" s="1" t="s">
        <v>1051</v>
      </c>
      <c r="P753" s="1" t="s">
        <v>59</v>
      </c>
      <c r="Q753" s="1" t="s">
        <v>2464</v>
      </c>
      <c r="R753" s="1" t="s">
        <v>61</v>
      </c>
      <c r="S753" s="1"/>
    </row>
    <row r="754" spans="1:19" ht="79.8">
      <c r="A754" s="1" t="s">
        <v>2856</v>
      </c>
      <c r="B754" s="1" t="s">
        <v>2857</v>
      </c>
      <c r="C754" s="1" t="s">
        <v>2857</v>
      </c>
      <c r="D754" s="1" t="s">
        <v>55</v>
      </c>
      <c r="E754" s="1" t="s">
        <v>22</v>
      </c>
      <c r="F754" s="1" t="s">
        <v>2858</v>
      </c>
      <c r="G754" s="1" t="s">
        <v>614</v>
      </c>
      <c r="H754" s="1" t="s">
        <v>615</v>
      </c>
      <c r="I754" s="1"/>
      <c r="J754" s="2"/>
      <c r="K754" s="3">
        <v>42.352406000000002</v>
      </c>
      <c r="L754" s="3">
        <v>69.577887000000004</v>
      </c>
      <c r="M754" s="1" t="s">
        <v>2859</v>
      </c>
      <c r="N754" s="1" t="s">
        <v>2594</v>
      </c>
      <c r="O754" s="1" t="s">
        <v>1051</v>
      </c>
      <c r="P754" s="1" t="s">
        <v>59</v>
      </c>
      <c r="Q754" s="1" t="s">
        <v>2464</v>
      </c>
      <c r="R754" s="1" t="s">
        <v>61</v>
      </c>
      <c r="S754" s="1"/>
    </row>
    <row r="755" spans="1:19" ht="79.8">
      <c r="A755" s="1" t="s">
        <v>2860</v>
      </c>
      <c r="B755" s="1" t="s">
        <v>2861</v>
      </c>
      <c r="C755" s="1" t="s">
        <v>2861</v>
      </c>
      <c r="D755" s="1" t="s">
        <v>55</v>
      </c>
      <c r="E755" s="1" t="s">
        <v>22</v>
      </c>
      <c r="F755" s="1" t="s">
        <v>2862</v>
      </c>
      <c r="G755" s="1" t="s">
        <v>1295</v>
      </c>
      <c r="H755" s="1" t="s">
        <v>2863</v>
      </c>
      <c r="I755" s="1" t="s">
        <v>2864</v>
      </c>
      <c r="J755" s="2"/>
      <c r="K755" s="3">
        <v>42.316333</v>
      </c>
      <c r="L755" s="3">
        <v>69.631958999999995</v>
      </c>
      <c r="M755" s="1" t="s">
        <v>2865</v>
      </c>
      <c r="N755" s="1" t="s">
        <v>1401</v>
      </c>
      <c r="O755" s="1" t="s">
        <v>1051</v>
      </c>
      <c r="P755" s="1" t="s">
        <v>59</v>
      </c>
      <c r="Q755" s="1" t="s">
        <v>2464</v>
      </c>
      <c r="R755" s="1" t="s">
        <v>61</v>
      </c>
      <c r="S755" s="1" t="s">
        <v>2734</v>
      </c>
    </row>
    <row r="756" spans="1:19" ht="79.8">
      <c r="A756" s="1" t="s">
        <v>2866</v>
      </c>
      <c r="B756" s="1" t="s">
        <v>2867</v>
      </c>
      <c r="C756" s="1" t="s">
        <v>2867</v>
      </c>
      <c r="D756" s="1" t="s">
        <v>55</v>
      </c>
      <c r="E756" s="1" t="s">
        <v>27</v>
      </c>
      <c r="F756" s="1" t="s">
        <v>2868</v>
      </c>
      <c r="G756" s="1" t="s">
        <v>1218</v>
      </c>
      <c r="H756" s="1" t="s">
        <v>2869</v>
      </c>
      <c r="I756" s="1"/>
      <c r="J756" s="2"/>
      <c r="K756" s="3">
        <v>42.365654999999997</v>
      </c>
      <c r="L756" s="3">
        <v>69.671189999999996</v>
      </c>
      <c r="M756" s="1" t="s">
        <v>2870</v>
      </c>
      <c r="N756" s="1" t="s">
        <v>2478</v>
      </c>
      <c r="O756" s="1" t="s">
        <v>1051</v>
      </c>
      <c r="P756" s="1" t="s">
        <v>59</v>
      </c>
      <c r="Q756" s="1" t="s">
        <v>2464</v>
      </c>
      <c r="R756" s="1" t="s">
        <v>61</v>
      </c>
      <c r="S756" s="1" t="s">
        <v>2465</v>
      </c>
    </row>
    <row r="757" spans="1:19" ht="79.8">
      <c r="A757" s="1" t="s">
        <v>2871</v>
      </c>
      <c r="B757" s="1" t="s">
        <v>2872</v>
      </c>
      <c r="C757" s="1" t="s">
        <v>2872</v>
      </c>
      <c r="D757" s="1" t="s">
        <v>55</v>
      </c>
      <c r="E757" s="1" t="s">
        <v>22</v>
      </c>
      <c r="F757" s="1" t="s">
        <v>2873</v>
      </c>
      <c r="G757" s="1" t="s">
        <v>1218</v>
      </c>
      <c r="H757" s="1" t="s">
        <v>2874</v>
      </c>
      <c r="I757" s="1" t="s">
        <v>2875</v>
      </c>
      <c r="J757" s="2"/>
      <c r="K757" s="3">
        <v>42.355387</v>
      </c>
      <c r="L757" s="3">
        <v>69.656312</v>
      </c>
      <c r="M757" s="1" t="s">
        <v>2876</v>
      </c>
      <c r="N757" s="1" t="s">
        <v>2651</v>
      </c>
      <c r="O757" s="1" t="s">
        <v>1051</v>
      </c>
      <c r="P757" s="1" t="s">
        <v>59</v>
      </c>
      <c r="Q757" s="1" t="s">
        <v>2464</v>
      </c>
      <c r="R757" s="1" t="s">
        <v>61</v>
      </c>
      <c r="S757" s="1"/>
    </row>
    <row r="758" spans="1:19" ht="79.8">
      <c r="A758" s="1" t="s">
        <v>2877</v>
      </c>
      <c r="B758" s="1" t="s">
        <v>2878</v>
      </c>
      <c r="C758" s="1" t="s">
        <v>2878</v>
      </c>
      <c r="D758" s="1" t="s">
        <v>55</v>
      </c>
      <c r="E758" s="1" t="s">
        <v>27</v>
      </c>
      <c r="F758" s="1" t="s">
        <v>2879</v>
      </c>
      <c r="G758" s="1" t="s">
        <v>403</v>
      </c>
      <c r="H758" s="1" t="s">
        <v>2880</v>
      </c>
      <c r="I758" s="1" t="s">
        <v>2881</v>
      </c>
      <c r="J758" s="2"/>
      <c r="K758" s="3">
        <v>42.369064999999999</v>
      </c>
      <c r="L758" s="3">
        <v>69.529472999999996</v>
      </c>
      <c r="M758" s="1" t="s">
        <v>2882</v>
      </c>
      <c r="N758" s="1" t="s">
        <v>1167</v>
      </c>
      <c r="O758" s="1" t="s">
        <v>1051</v>
      </c>
      <c r="P758" s="1" t="s">
        <v>59</v>
      </c>
      <c r="Q758" s="1" t="s">
        <v>2464</v>
      </c>
      <c r="R758" s="1" t="s">
        <v>61</v>
      </c>
      <c r="S758" s="1" t="s">
        <v>2465</v>
      </c>
    </row>
    <row r="759" spans="1:19" ht="79.8">
      <c r="A759" s="1" t="s">
        <v>2883</v>
      </c>
      <c r="B759" s="1" t="s">
        <v>2884</v>
      </c>
      <c r="C759" s="1" t="s">
        <v>2884</v>
      </c>
      <c r="D759" s="1" t="s">
        <v>55</v>
      </c>
      <c r="E759" s="1" t="s">
        <v>22</v>
      </c>
      <c r="F759" s="1" t="s">
        <v>2885</v>
      </c>
      <c r="G759" s="1" t="s">
        <v>1295</v>
      </c>
      <c r="H759" s="1" t="s">
        <v>2886</v>
      </c>
      <c r="I759" s="1"/>
      <c r="J759" s="2"/>
      <c r="K759" s="3">
        <v>42.231059000000002</v>
      </c>
      <c r="L759" s="3">
        <v>69.800606000000002</v>
      </c>
      <c r="M759" s="1" t="s">
        <v>2887</v>
      </c>
      <c r="N759" s="1" t="s">
        <v>2561</v>
      </c>
      <c r="O759" s="1" t="s">
        <v>1051</v>
      </c>
      <c r="P759" s="1" t="s">
        <v>59</v>
      </c>
      <c r="Q759" s="1" t="s">
        <v>2464</v>
      </c>
      <c r="R759" s="1" t="s">
        <v>61</v>
      </c>
      <c r="S759" s="1"/>
    </row>
    <row r="760" spans="1:19" ht="79.8">
      <c r="A760" s="1" t="s">
        <v>2888</v>
      </c>
      <c r="B760" s="1" t="s">
        <v>2889</v>
      </c>
      <c r="C760" s="1" t="s">
        <v>2889</v>
      </c>
      <c r="D760" s="1" t="s">
        <v>55</v>
      </c>
      <c r="E760" s="1" t="s">
        <v>22</v>
      </c>
      <c r="F760" s="1" t="s">
        <v>2890</v>
      </c>
      <c r="G760" s="1" t="s">
        <v>1218</v>
      </c>
      <c r="H760" s="1" t="s">
        <v>2891</v>
      </c>
      <c r="I760" s="1"/>
      <c r="J760" s="2"/>
      <c r="K760" s="3">
        <v>42.352223000000002</v>
      </c>
      <c r="L760" s="3">
        <v>69.652614</v>
      </c>
      <c r="M760" s="1" t="s">
        <v>2892</v>
      </c>
      <c r="N760" s="1" t="s">
        <v>2651</v>
      </c>
      <c r="O760" s="1" t="s">
        <v>1051</v>
      </c>
      <c r="P760" s="1" t="s">
        <v>59</v>
      </c>
      <c r="Q760" s="1" t="s">
        <v>2464</v>
      </c>
      <c r="R760" s="1" t="s">
        <v>61</v>
      </c>
      <c r="S760" s="1" t="s">
        <v>2734</v>
      </c>
    </row>
    <row r="761" spans="1:19" ht="79.8">
      <c r="A761" s="1" t="s">
        <v>2893</v>
      </c>
      <c r="B761" s="1" t="s">
        <v>2894</v>
      </c>
      <c r="C761" s="1" t="s">
        <v>2894</v>
      </c>
      <c r="D761" s="1" t="s">
        <v>55</v>
      </c>
      <c r="E761" s="1" t="s">
        <v>22</v>
      </c>
      <c r="F761" s="1" t="s">
        <v>2895</v>
      </c>
      <c r="G761" s="1" t="s">
        <v>403</v>
      </c>
      <c r="H761" s="1" t="s">
        <v>2896</v>
      </c>
      <c r="I761" s="1" t="s">
        <v>2897</v>
      </c>
      <c r="J761" s="2"/>
      <c r="K761" s="3">
        <v>42.403398000000003</v>
      </c>
      <c r="L761" s="3">
        <v>69.631176999999994</v>
      </c>
      <c r="M761" s="1" t="s">
        <v>2898</v>
      </c>
      <c r="N761" s="1" t="s">
        <v>2470</v>
      </c>
      <c r="O761" s="1" t="s">
        <v>1051</v>
      </c>
      <c r="P761" s="1" t="s">
        <v>59</v>
      </c>
      <c r="Q761" s="1" t="s">
        <v>2464</v>
      </c>
      <c r="R761" s="1" t="s">
        <v>61</v>
      </c>
      <c r="S761" s="1" t="s">
        <v>2465</v>
      </c>
    </row>
    <row r="762" spans="1:19" ht="79.8">
      <c r="A762" s="1" t="s">
        <v>2899</v>
      </c>
      <c r="B762" s="1" t="s">
        <v>2900</v>
      </c>
      <c r="C762" s="1" t="s">
        <v>2900</v>
      </c>
      <c r="D762" s="1" t="s">
        <v>55</v>
      </c>
      <c r="E762" s="1" t="s">
        <v>22</v>
      </c>
      <c r="F762" s="1" t="s">
        <v>2901</v>
      </c>
      <c r="G762" s="1" t="s">
        <v>403</v>
      </c>
      <c r="H762" s="1" t="s">
        <v>615</v>
      </c>
      <c r="I762" s="1"/>
      <c r="J762" s="2"/>
      <c r="K762" s="3">
        <v>42.415790999999999</v>
      </c>
      <c r="L762" s="3">
        <v>69.595136999999994</v>
      </c>
      <c r="M762" s="1" t="s">
        <v>2902</v>
      </c>
      <c r="N762" s="1" t="s">
        <v>2506</v>
      </c>
      <c r="O762" s="1" t="s">
        <v>1051</v>
      </c>
      <c r="P762" s="1" t="s">
        <v>59</v>
      </c>
      <c r="Q762" s="1" t="s">
        <v>2464</v>
      </c>
      <c r="R762" s="1" t="s">
        <v>61</v>
      </c>
      <c r="S762" s="1"/>
    </row>
    <row r="763" spans="1:19" ht="79.8">
      <c r="A763" s="1" t="s">
        <v>2903</v>
      </c>
      <c r="B763" s="1" t="s">
        <v>2904</v>
      </c>
      <c r="C763" s="1" t="s">
        <v>2904</v>
      </c>
      <c r="D763" s="1" t="s">
        <v>55</v>
      </c>
      <c r="E763" s="1" t="s">
        <v>22</v>
      </c>
      <c r="F763" s="1" t="s">
        <v>2905</v>
      </c>
      <c r="G763" s="1" t="s">
        <v>403</v>
      </c>
      <c r="H763" s="1" t="s">
        <v>2906</v>
      </c>
      <c r="I763" s="1"/>
      <c r="J763" s="2"/>
      <c r="K763" s="3">
        <v>42.396982000000001</v>
      </c>
      <c r="L763" s="3">
        <v>69.615951999999993</v>
      </c>
      <c r="M763" s="1" t="s">
        <v>2907</v>
      </c>
      <c r="N763" s="1" t="s">
        <v>2528</v>
      </c>
      <c r="O763" s="1" t="s">
        <v>1051</v>
      </c>
      <c r="P763" s="1" t="s">
        <v>59</v>
      </c>
      <c r="Q763" s="1" t="s">
        <v>2464</v>
      </c>
      <c r="R763" s="1" t="s">
        <v>61</v>
      </c>
      <c r="S763" s="1"/>
    </row>
    <row r="764" spans="1:19" ht="79.8">
      <c r="A764" s="1" t="s">
        <v>2908</v>
      </c>
      <c r="B764" s="1" t="s">
        <v>2909</v>
      </c>
      <c r="C764" s="1" t="s">
        <v>2909</v>
      </c>
      <c r="D764" s="1" t="s">
        <v>55</v>
      </c>
      <c r="E764" s="1" t="s">
        <v>27</v>
      </c>
      <c r="F764" s="1" t="s">
        <v>2910</v>
      </c>
      <c r="G764" s="1" t="s">
        <v>1218</v>
      </c>
      <c r="H764" s="1" t="s">
        <v>2911</v>
      </c>
      <c r="I764" s="1"/>
      <c r="J764" s="2"/>
      <c r="K764" s="3">
        <v>42.368298000000003</v>
      </c>
      <c r="L764" s="3">
        <v>69.644358999999994</v>
      </c>
      <c r="M764" s="1" t="s">
        <v>2912</v>
      </c>
      <c r="N764" s="1" t="s">
        <v>2478</v>
      </c>
      <c r="O764" s="1" t="s">
        <v>1051</v>
      </c>
      <c r="P764" s="1" t="s">
        <v>59</v>
      </c>
      <c r="Q764" s="1" t="s">
        <v>2464</v>
      </c>
      <c r="R764" s="1" t="s">
        <v>61</v>
      </c>
      <c r="S764" s="1"/>
    </row>
    <row r="765" spans="1:19" ht="79.8">
      <c r="A765" s="1" t="s">
        <v>2913</v>
      </c>
      <c r="B765" s="1" t="s">
        <v>2914</v>
      </c>
      <c r="C765" s="1" t="s">
        <v>2914</v>
      </c>
      <c r="D765" s="1" t="s">
        <v>2915</v>
      </c>
      <c r="E765" s="1" t="s">
        <v>27</v>
      </c>
      <c r="F765" s="1" t="s">
        <v>2916</v>
      </c>
      <c r="G765" s="1" t="s">
        <v>403</v>
      </c>
      <c r="H765" s="1" t="s">
        <v>2917</v>
      </c>
      <c r="I765" s="1"/>
      <c r="J765" s="2"/>
      <c r="K765" s="3">
        <v>42.379269000000001</v>
      </c>
      <c r="L765" s="3">
        <v>69.599867000000003</v>
      </c>
      <c r="M765" s="1" t="s">
        <v>2918</v>
      </c>
      <c r="N765" s="1" t="s">
        <v>2470</v>
      </c>
      <c r="O765" s="1" t="s">
        <v>1051</v>
      </c>
      <c r="P765" s="1" t="s">
        <v>59</v>
      </c>
      <c r="Q765" s="1" t="s">
        <v>2464</v>
      </c>
      <c r="R765" s="1" t="s">
        <v>61</v>
      </c>
      <c r="S765" s="1"/>
    </row>
    <row r="766" spans="1:19" ht="79.8">
      <c r="A766" s="1" t="s">
        <v>2919</v>
      </c>
      <c r="B766" s="1" t="s">
        <v>2920</v>
      </c>
      <c r="C766" s="1" t="s">
        <v>2920</v>
      </c>
      <c r="D766" s="1" t="s">
        <v>2921</v>
      </c>
      <c r="E766" s="1" t="s">
        <v>27</v>
      </c>
      <c r="F766" s="1" t="s">
        <v>2555</v>
      </c>
      <c r="G766" s="1" t="s">
        <v>614</v>
      </c>
      <c r="H766" s="1" t="s">
        <v>2922</v>
      </c>
      <c r="I766" s="1"/>
      <c r="J766" s="2"/>
      <c r="K766" s="3">
        <v>42.304585000000003</v>
      </c>
      <c r="L766" s="3">
        <v>69.574720999999997</v>
      </c>
      <c r="M766" s="1" t="s">
        <v>2923</v>
      </c>
      <c r="N766" s="1" t="s">
        <v>2489</v>
      </c>
      <c r="O766" s="1" t="s">
        <v>1051</v>
      </c>
      <c r="P766" s="1" t="s">
        <v>59</v>
      </c>
      <c r="Q766" s="1" t="s">
        <v>2464</v>
      </c>
      <c r="R766" s="1" t="s">
        <v>61</v>
      </c>
      <c r="S766" s="1"/>
    </row>
    <row r="767" spans="1:19" ht="79.8">
      <c r="A767" s="1" t="s">
        <v>2924</v>
      </c>
      <c r="B767" s="1" t="s">
        <v>2925</v>
      </c>
      <c r="C767" s="1" t="s">
        <v>2925</v>
      </c>
      <c r="D767" s="1" t="s">
        <v>55</v>
      </c>
      <c r="E767" s="1" t="s">
        <v>22</v>
      </c>
      <c r="F767" s="1" t="s">
        <v>2926</v>
      </c>
      <c r="G767" s="1" t="s">
        <v>251</v>
      </c>
      <c r="H767" s="1" t="s">
        <v>2481</v>
      </c>
      <c r="I767" s="1"/>
      <c r="J767" s="2"/>
      <c r="K767" s="3">
        <v>42.336320999999998</v>
      </c>
      <c r="L767" s="3">
        <v>69.630476999999999</v>
      </c>
      <c r="M767" s="1" t="s">
        <v>2927</v>
      </c>
      <c r="N767" s="1" t="s">
        <v>2604</v>
      </c>
      <c r="O767" s="1" t="s">
        <v>1051</v>
      </c>
      <c r="P767" s="1" t="s">
        <v>59</v>
      </c>
      <c r="Q767" s="1" t="s">
        <v>2464</v>
      </c>
      <c r="R767" s="1" t="s">
        <v>61</v>
      </c>
      <c r="S767" s="1" t="s">
        <v>2465</v>
      </c>
    </row>
    <row r="768" spans="1:19" ht="79.8">
      <c r="A768" s="1" t="s">
        <v>2928</v>
      </c>
      <c r="B768" s="1" t="s">
        <v>2929</v>
      </c>
      <c r="C768" s="1" t="s">
        <v>2929</v>
      </c>
      <c r="D768" s="1" t="s">
        <v>55</v>
      </c>
      <c r="E768" s="1" t="s">
        <v>22</v>
      </c>
      <c r="F768" s="1" t="s">
        <v>2930</v>
      </c>
      <c r="G768" s="1" t="s">
        <v>403</v>
      </c>
      <c r="H768" s="1" t="s">
        <v>2931</v>
      </c>
      <c r="I768" s="1" t="s">
        <v>2932</v>
      </c>
      <c r="J768" s="2"/>
      <c r="K768" s="3">
        <v>42.408360000000002</v>
      </c>
      <c r="L768" s="3">
        <v>69.619487000000007</v>
      </c>
      <c r="M768" s="1" t="s">
        <v>2933</v>
      </c>
      <c r="N768" s="1" t="s">
        <v>2470</v>
      </c>
      <c r="O768" s="1" t="s">
        <v>1051</v>
      </c>
      <c r="P768" s="1" t="s">
        <v>59</v>
      </c>
      <c r="Q768" s="1" t="s">
        <v>2464</v>
      </c>
      <c r="R768" s="1" t="s">
        <v>61</v>
      </c>
      <c r="S768" s="1"/>
    </row>
    <row r="769" spans="1:19" ht="79.8">
      <c r="A769" s="1" t="s">
        <v>2934</v>
      </c>
      <c r="B769" s="1" t="s">
        <v>2935</v>
      </c>
      <c r="C769" s="1" t="s">
        <v>2935</v>
      </c>
      <c r="D769" s="1" t="s">
        <v>55</v>
      </c>
      <c r="E769" s="1" t="s">
        <v>29</v>
      </c>
      <c r="F769" s="1" t="s">
        <v>2936</v>
      </c>
      <c r="G769" s="1" t="s">
        <v>403</v>
      </c>
      <c r="H769" s="1" t="s">
        <v>615</v>
      </c>
      <c r="I769" s="1"/>
      <c r="J769" s="2"/>
      <c r="K769" s="3">
        <v>42.369171000000001</v>
      </c>
      <c r="L769" s="3">
        <v>69.543059999999997</v>
      </c>
      <c r="M769" s="1" t="s">
        <v>2937</v>
      </c>
      <c r="N769" s="1" t="s">
        <v>2528</v>
      </c>
      <c r="O769" s="1" t="s">
        <v>1051</v>
      </c>
      <c r="P769" s="1" t="s">
        <v>59</v>
      </c>
      <c r="Q769" s="1" t="s">
        <v>2464</v>
      </c>
      <c r="R769" s="1" t="s">
        <v>61</v>
      </c>
      <c r="S769" s="1"/>
    </row>
    <row r="770" spans="1:19" ht="79.8">
      <c r="A770" s="1" t="s">
        <v>2938</v>
      </c>
      <c r="B770" s="1" t="s">
        <v>2939</v>
      </c>
      <c r="C770" s="1" t="s">
        <v>2939</v>
      </c>
      <c r="D770" s="1" t="s">
        <v>55</v>
      </c>
      <c r="E770" s="1" t="s">
        <v>22</v>
      </c>
      <c r="F770" s="1" t="s">
        <v>2940</v>
      </c>
      <c r="G770" s="1" t="s">
        <v>614</v>
      </c>
      <c r="H770" s="1" t="s">
        <v>2941</v>
      </c>
      <c r="I770" s="1" t="s">
        <v>2942</v>
      </c>
      <c r="J770" s="2"/>
      <c r="K770" s="3">
        <v>42.353700000000003</v>
      </c>
      <c r="L770" s="3">
        <v>69.584277999999998</v>
      </c>
      <c r="M770" s="1" t="s">
        <v>2943</v>
      </c>
      <c r="N770" s="1" t="s">
        <v>2594</v>
      </c>
      <c r="O770" s="1" t="s">
        <v>1051</v>
      </c>
      <c r="P770" s="1" t="s">
        <v>59</v>
      </c>
      <c r="Q770" s="1" t="s">
        <v>2464</v>
      </c>
      <c r="R770" s="1" t="s">
        <v>61</v>
      </c>
      <c r="S770" s="1"/>
    </row>
    <row r="771" spans="1:19" ht="79.8">
      <c r="A771" s="1" t="s">
        <v>2944</v>
      </c>
      <c r="B771" s="1" t="s">
        <v>2945</v>
      </c>
      <c r="C771" s="1" t="s">
        <v>2945</v>
      </c>
      <c r="D771" s="1" t="s">
        <v>55</v>
      </c>
      <c r="E771" s="1" t="s">
        <v>29</v>
      </c>
      <c r="F771" s="1" t="s">
        <v>2946</v>
      </c>
      <c r="G771" s="1" t="s">
        <v>403</v>
      </c>
      <c r="H771" s="1" t="s">
        <v>2947</v>
      </c>
      <c r="I771" s="1"/>
      <c r="J771" s="2"/>
      <c r="K771" s="3">
        <v>42.365563999999999</v>
      </c>
      <c r="L771" s="3">
        <v>69.515523999999999</v>
      </c>
      <c r="M771" s="1" t="s">
        <v>2948</v>
      </c>
      <c r="N771" s="1" t="s">
        <v>2506</v>
      </c>
      <c r="O771" s="1" t="s">
        <v>1051</v>
      </c>
      <c r="P771" s="1" t="s">
        <v>59</v>
      </c>
      <c r="Q771" s="1" t="s">
        <v>2464</v>
      </c>
      <c r="R771" s="1" t="s">
        <v>61</v>
      </c>
      <c r="S771" s="1"/>
    </row>
    <row r="772" spans="1:19" ht="79.8">
      <c r="A772" s="1" t="s">
        <v>2949</v>
      </c>
      <c r="B772" s="1" t="s">
        <v>2950</v>
      </c>
      <c r="C772" s="1" t="s">
        <v>2950</v>
      </c>
      <c r="D772" s="1" t="s">
        <v>55</v>
      </c>
      <c r="E772" s="1" t="s">
        <v>22</v>
      </c>
      <c r="F772" s="1" t="s">
        <v>2951</v>
      </c>
      <c r="G772" s="1" t="s">
        <v>1218</v>
      </c>
      <c r="H772" s="1" t="s">
        <v>2952</v>
      </c>
      <c r="I772" s="1"/>
      <c r="J772" s="2"/>
      <c r="K772" s="3">
        <v>42.354534000000001</v>
      </c>
      <c r="L772" s="3">
        <v>69.641469999999998</v>
      </c>
      <c r="M772" s="1" t="s">
        <v>2953</v>
      </c>
      <c r="N772" s="1" t="s">
        <v>2484</v>
      </c>
      <c r="O772" s="1" t="s">
        <v>1051</v>
      </c>
      <c r="P772" s="1" t="s">
        <v>59</v>
      </c>
      <c r="Q772" s="1" t="s">
        <v>2464</v>
      </c>
      <c r="R772" s="1" t="s">
        <v>61</v>
      </c>
      <c r="S772" s="1"/>
    </row>
    <row r="773" spans="1:19" ht="79.8">
      <c r="A773" s="1" t="s">
        <v>2954</v>
      </c>
      <c r="B773" s="1" t="s">
        <v>2955</v>
      </c>
      <c r="C773" s="1" t="s">
        <v>2955</v>
      </c>
      <c r="D773" s="1" t="s">
        <v>55</v>
      </c>
      <c r="E773" s="1" t="s">
        <v>22</v>
      </c>
      <c r="F773" s="1" t="s">
        <v>2956</v>
      </c>
      <c r="G773" s="1" t="s">
        <v>1295</v>
      </c>
      <c r="H773" s="1" t="s">
        <v>2113</v>
      </c>
      <c r="I773" s="1"/>
      <c r="J773" s="2"/>
      <c r="K773" s="3">
        <v>42.289566000000001</v>
      </c>
      <c r="L773" s="3">
        <v>69.627697999999995</v>
      </c>
      <c r="M773" s="1" t="s">
        <v>2957</v>
      </c>
      <c r="N773" s="1" t="s">
        <v>1401</v>
      </c>
      <c r="O773" s="1" t="s">
        <v>1051</v>
      </c>
      <c r="P773" s="1" t="s">
        <v>59</v>
      </c>
      <c r="Q773" s="1" t="s">
        <v>2464</v>
      </c>
      <c r="R773" s="1" t="s">
        <v>61</v>
      </c>
      <c r="S773" s="1" t="s">
        <v>2614</v>
      </c>
    </row>
    <row r="774" spans="1:19" ht="79.8">
      <c r="A774" s="1" t="s">
        <v>2958</v>
      </c>
      <c r="B774" s="1" t="s">
        <v>2959</v>
      </c>
      <c r="C774" s="1" t="s">
        <v>2959</v>
      </c>
      <c r="D774" s="1" t="s">
        <v>55</v>
      </c>
      <c r="E774" s="1" t="s">
        <v>29</v>
      </c>
      <c r="F774" s="1" t="s">
        <v>2960</v>
      </c>
      <c r="G774" s="1" t="s">
        <v>1218</v>
      </c>
      <c r="H774" s="1" t="s">
        <v>2961</v>
      </c>
      <c r="I774" s="1"/>
      <c r="J774" s="2"/>
      <c r="K774" s="3">
        <v>42.383780999999999</v>
      </c>
      <c r="L774" s="3">
        <v>69.657374000000004</v>
      </c>
      <c r="M774" s="1" t="s">
        <v>2962</v>
      </c>
      <c r="N774" s="1" t="s">
        <v>2484</v>
      </c>
      <c r="O774" s="1" t="s">
        <v>1051</v>
      </c>
      <c r="P774" s="1" t="s">
        <v>59</v>
      </c>
      <c r="Q774" s="1" t="s">
        <v>2464</v>
      </c>
      <c r="R774" s="1" t="s">
        <v>61</v>
      </c>
      <c r="S774" s="1"/>
    </row>
    <row r="775" spans="1:19" ht="79.8">
      <c r="A775" s="1" t="s">
        <v>2963</v>
      </c>
      <c r="B775" s="1" t="s">
        <v>2964</v>
      </c>
      <c r="C775" s="1" t="s">
        <v>2964</v>
      </c>
      <c r="D775" s="1" t="s">
        <v>55</v>
      </c>
      <c r="E775" s="1" t="s">
        <v>22</v>
      </c>
      <c r="F775" s="1" t="s">
        <v>2965</v>
      </c>
      <c r="G775" s="1" t="s">
        <v>1218</v>
      </c>
      <c r="H775" s="1" t="s">
        <v>2966</v>
      </c>
      <c r="I775" s="1"/>
      <c r="J775" s="2"/>
      <c r="K775" s="3">
        <v>42.298256000000002</v>
      </c>
      <c r="L775" s="3">
        <v>69.757367000000002</v>
      </c>
      <c r="M775" s="1" t="s">
        <v>2967</v>
      </c>
      <c r="N775" s="1" t="s">
        <v>2484</v>
      </c>
      <c r="O775" s="1" t="s">
        <v>1051</v>
      </c>
      <c r="P775" s="1" t="s">
        <v>59</v>
      </c>
      <c r="Q775" s="1" t="s">
        <v>2464</v>
      </c>
      <c r="R775" s="1" t="s">
        <v>61</v>
      </c>
      <c r="S775" s="1" t="s">
        <v>2465</v>
      </c>
    </row>
    <row r="776" spans="1:19" ht="79.8">
      <c r="A776" s="1" t="s">
        <v>2968</v>
      </c>
      <c r="B776" s="1" t="s">
        <v>2969</v>
      </c>
      <c r="C776" s="1" t="s">
        <v>2969</v>
      </c>
      <c r="D776" s="1" t="s">
        <v>55</v>
      </c>
      <c r="E776" s="1" t="s">
        <v>22</v>
      </c>
      <c r="F776" s="1" t="s">
        <v>2970</v>
      </c>
      <c r="G776" s="1" t="s">
        <v>1218</v>
      </c>
      <c r="H776" s="1" t="s">
        <v>2971</v>
      </c>
      <c r="I776" s="1" t="s">
        <v>2972</v>
      </c>
      <c r="J776" s="2"/>
      <c r="K776" s="3">
        <v>42.345683999999999</v>
      </c>
      <c r="L776" s="3">
        <v>69.645966999999999</v>
      </c>
      <c r="M776" s="1" t="s">
        <v>2973</v>
      </c>
      <c r="N776" s="1" t="s">
        <v>2645</v>
      </c>
      <c r="O776" s="1" t="s">
        <v>1051</v>
      </c>
      <c r="P776" s="1" t="s">
        <v>59</v>
      </c>
      <c r="Q776" s="1" t="s">
        <v>2464</v>
      </c>
      <c r="R776" s="1" t="s">
        <v>61</v>
      </c>
      <c r="S776" s="1"/>
    </row>
    <row r="777" spans="1:19" ht="79.8">
      <c r="A777" s="1" t="s">
        <v>2974</v>
      </c>
      <c r="B777" s="1" t="s">
        <v>2975</v>
      </c>
      <c r="C777" s="1" t="s">
        <v>2975</v>
      </c>
      <c r="D777" s="1" t="s">
        <v>2975</v>
      </c>
      <c r="E777" s="1" t="s">
        <v>22</v>
      </c>
      <c r="F777" s="1" t="s">
        <v>2976</v>
      </c>
      <c r="G777" s="1" t="s">
        <v>403</v>
      </c>
      <c r="H777" s="1" t="s">
        <v>2977</v>
      </c>
      <c r="I777" s="1" t="s">
        <v>2978</v>
      </c>
      <c r="J777" s="2">
        <v>2</v>
      </c>
      <c r="K777" s="3">
        <v>42.3626</v>
      </c>
      <c r="L777" s="3">
        <v>69.548221999999996</v>
      </c>
      <c r="M777" s="1" t="s">
        <v>2979</v>
      </c>
      <c r="N777" s="1" t="s">
        <v>2470</v>
      </c>
      <c r="O777" s="1" t="s">
        <v>1065</v>
      </c>
      <c r="P777" s="1" t="s">
        <v>59</v>
      </c>
      <c r="Q777" s="1" t="s">
        <v>2464</v>
      </c>
      <c r="R777" s="1" t="s">
        <v>61</v>
      </c>
      <c r="S777" s="1" t="s">
        <v>2595</v>
      </c>
    </row>
    <row r="778" spans="1:19" ht="79.8">
      <c r="A778" s="1" t="s">
        <v>2980</v>
      </c>
      <c r="B778" s="1" t="s">
        <v>2975</v>
      </c>
      <c r="C778" s="1" t="s">
        <v>2975</v>
      </c>
      <c r="D778" s="1" t="s">
        <v>2975</v>
      </c>
      <c r="E778" s="1" t="s">
        <v>22</v>
      </c>
      <c r="F778" s="1" t="s">
        <v>2981</v>
      </c>
      <c r="G778" s="1" t="s">
        <v>614</v>
      </c>
      <c r="H778" s="1" t="s">
        <v>2982</v>
      </c>
      <c r="I778" s="1" t="s">
        <v>2983</v>
      </c>
      <c r="J778" s="2">
        <v>2</v>
      </c>
      <c r="K778" s="3">
        <v>42.317065999999997</v>
      </c>
      <c r="L778" s="3">
        <v>69.555091000000004</v>
      </c>
      <c r="M778" s="1" t="s">
        <v>2984</v>
      </c>
      <c r="N778" s="1" t="s">
        <v>2500</v>
      </c>
      <c r="O778" s="1" t="s">
        <v>1065</v>
      </c>
      <c r="P778" s="1" t="s">
        <v>59</v>
      </c>
      <c r="Q778" s="1" t="s">
        <v>2464</v>
      </c>
      <c r="R778" s="1" t="s">
        <v>61</v>
      </c>
      <c r="S778" s="1" t="s">
        <v>2595</v>
      </c>
    </row>
    <row r="779" spans="1:19" ht="79.8">
      <c r="A779" s="1" t="s">
        <v>2985</v>
      </c>
      <c r="B779" s="1" t="s">
        <v>2986</v>
      </c>
      <c r="C779" s="1" t="s">
        <v>2986</v>
      </c>
      <c r="D779" s="1" t="s">
        <v>2986</v>
      </c>
      <c r="E779" s="1" t="s">
        <v>22</v>
      </c>
      <c r="F779" s="1" t="s">
        <v>2987</v>
      </c>
      <c r="G779" s="1" t="s">
        <v>251</v>
      </c>
      <c r="H779" s="1"/>
      <c r="I779" s="1" t="s">
        <v>2988</v>
      </c>
      <c r="J779" s="2">
        <v>2</v>
      </c>
      <c r="K779" s="3">
        <v>42.341054999999997</v>
      </c>
      <c r="L779" s="3">
        <v>69.632418000000001</v>
      </c>
      <c r="M779" s="1" t="s">
        <v>2989</v>
      </c>
      <c r="N779" s="1" t="s">
        <v>2604</v>
      </c>
      <c r="O779" s="1" t="s">
        <v>1065</v>
      </c>
      <c r="P779" s="1" t="s">
        <v>59</v>
      </c>
      <c r="Q779" s="1" t="s">
        <v>2464</v>
      </c>
      <c r="R779" s="1" t="s">
        <v>61</v>
      </c>
      <c r="S779" s="1" t="s">
        <v>2595</v>
      </c>
    </row>
    <row r="780" spans="1:19" ht="148.19999999999999">
      <c r="A780" s="1" t="s">
        <v>2990</v>
      </c>
      <c r="B780" s="1" t="s">
        <v>1350</v>
      </c>
      <c r="C780" s="1" t="s">
        <v>1350</v>
      </c>
      <c r="D780" s="1" t="s">
        <v>1350</v>
      </c>
      <c r="E780" s="1" t="s">
        <v>22</v>
      </c>
      <c r="F780" s="1" t="s">
        <v>2991</v>
      </c>
      <c r="G780" s="1" t="s">
        <v>403</v>
      </c>
      <c r="H780" s="1" t="s">
        <v>1352</v>
      </c>
      <c r="I780" s="1" t="s">
        <v>2992</v>
      </c>
      <c r="J780" s="2">
        <v>6</v>
      </c>
      <c r="K780" s="3">
        <v>42.382365</v>
      </c>
      <c r="L780" s="3">
        <v>69.543915999999996</v>
      </c>
      <c r="M780" s="1" t="s">
        <v>2993</v>
      </c>
      <c r="N780" s="1" t="s">
        <v>2495</v>
      </c>
      <c r="O780" s="1" t="s">
        <v>1065</v>
      </c>
      <c r="P780" s="1" t="s">
        <v>59</v>
      </c>
      <c r="Q780" s="1" t="s">
        <v>2464</v>
      </c>
      <c r="R780" s="1" t="s">
        <v>61</v>
      </c>
      <c r="S780" s="1" t="s">
        <v>2471</v>
      </c>
    </row>
    <row r="781" spans="1:19" ht="79.8">
      <c r="A781" s="1" t="s">
        <v>2994</v>
      </c>
      <c r="B781" s="1" t="s">
        <v>2995</v>
      </c>
      <c r="C781" s="1" t="s">
        <v>2995</v>
      </c>
      <c r="D781" s="1" t="s">
        <v>2995</v>
      </c>
      <c r="E781" s="1" t="s">
        <v>29</v>
      </c>
      <c r="F781" s="1" t="s">
        <v>2996</v>
      </c>
      <c r="G781" s="1" t="s">
        <v>1218</v>
      </c>
      <c r="H781" s="1" t="s">
        <v>2654</v>
      </c>
      <c r="I781" s="1" t="s">
        <v>2997</v>
      </c>
      <c r="J781" s="2">
        <v>2</v>
      </c>
      <c r="K781" s="3">
        <v>42.354114000000003</v>
      </c>
      <c r="L781" s="3">
        <v>69.638737000000006</v>
      </c>
      <c r="M781" s="1" t="s">
        <v>2998</v>
      </c>
      <c r="N781" s="1" t="s">
        <v>2645</v>
      </c>
      <c r="O781" s="1" t="s">
        <v>1065</v>
      </c>
      <c r="P781" s="1" t="s">
        <v>59</v>
      </c>
      <c r="Q781" s="1" t="s">
        <v>2464</v>
      </c>
      <c r="R781" s="1" t="s">
        <v>61</v>
      </c>
      <c r="S781" s="1" t="s">
        <v>2999</v>
      </c>
    </row>
    <row r="782" spans="1:19" ht="79.8">
      <c r="A782" s="1" t="s">
        <v>3000</v>
      </c>
      <c r="B782" s="1" t="s">
        <v>3001</v>
      </c>
      <c r="C782" s="1" t="s">
        <v>3001</v>
      </c>
      <c r="D782" s="1" t="s">
        <v>55</v>
      </c>
      <c r="E782" s="1" t="s">
        <v>22</v>
      </c>
      <c r="F782" s="1" t="s">
        <v>3002</v>
      </c>
      <c r="G782" s="1" t="s">
        <v>614</v>
      </c>
      <c r="H782" s="1"/>
      <c r="I782" s="1" t="s">
        <v>3003</v>
      </c>
      <c r="J782" s="2"/>
      <c r="K782" s="3">
        <v>42.341973000000003</v>
      </c>
      <c r="L782" s="3">
        <v>69.611374999999995</v>
      </c>
      <c r="M782" s="1" t="s">
        <v>3004</v>
      </c>
      <c r="N782" s="1" t="s">
        <v>2489</v>
      </c>
      <c r="O782" s="1" t="s">
        <v>1051</v>
      </c>
      <c r="P782" s="1" t="s">
        <v>59</v>
      </c>
      <c r="Q782" s="1" t="s">
        <v>2464</v>
      </c>
      <c r="R782" s="1" t="s">
        <v>61</v>
      </c>
      <c r="S782" s="1"/>
    </row>
    <row r="783" spans="1:19" ht="91.2">
      <c r="A783" s="1" t="s">
        <v>3005</v>
      </c>
      <c r="B783" s="1" t="s">
        <v>1382</v>
      </c>
      <c r="C783" s="1" t="s">
        <v>1382</v>
      </c>
      <c r="D783" s="1" t="s">
        <v>1382</v>
      </c>
      <c r="E783" s="1" t="s">
        <v>22</v>
      </c>
      <c r="F783" s="1" t="s">
        <v>3006</v>
      </c>
      <c r="G783" s="1" t="s">
        <v>614</v>
      </c>
      <c r="H783" s="1" t="s">
        <v>1384</v>
      </c>
      <c r="I783" s="1" t="s">
        <v>3007</v>
      </c>
      <c r="J783" s="2">
        <v>25</v>
      </c>
      <c r="K783" s="3">
        <v>42.292665999999997</v>
      </c>
      <c r="L783" s="3">
        <v>69.558379000000002</v>
      </c>
      <c r="M783" s="1" t="s">
        <v>3008</v>
      </c>
      <c r="N783" s="1" t="s">
        <v>2500</v>
      </c>
      <c r="O783" s="1" t="s">
        <v>1065</v>
      </c>
      <c r="P783" s="1" t="s">
        <v>59</v>
      </c>
      <c r="Q783" s="1" t="s">
        <v>2464</v>
      </c>
      <c r="R783" s="1" t="s">
        <v>61</v>
      </c>
      <c r="S783" s="1" t="s">
        <v>2595</v>
      </c>
    </row>
    <row r="784" spans="1:19" ht="91.2">
      <c r="A784" s="1" t="s">
        <v>3009</v>
      </c>
      <c r="B784" s="1" t="s">
        <v>1382</v>
      </c>
      <c r="C784" s="1" t="s">
        <v>1382</v>
      </c>
      <c r="D784" s="1" t="s">
        <v>1382</v>
      </c>
      <c r="E784" s="1" t="s">
        <v>22</v>
      </c>
      <c r="F784" s="1" t="s">
        <v>3010</v>
      </c>
      <c r="G784" s="1" t="s">
        <v>1218</v>
      </c>
      <c r="H784" s="1" t="s">
        <v>1384</v>
      </c>
      <c r="I784" s="1" t="s">
        <v>3011</v>
      </c>
      <c r="J784" s="2">
        <v>25</v>
      </c>
      <c r="K784" s="3">
        <v>42.397153000000003</v>
      </c>
      <c r="L784" s="3">
        <v>69.664010000000005</v>
      </c>
      <c r="M784" s="1" t="s">
        <v>3012</v>
      </c>
      <c r="N784" s="1" t="s">
        <v>2645</v>
      </c>
      <c r="O784" s="1" t="s">
        <v>1065</v>
      </c>
      <c r="P784" s="1" t="s">
        <v>59</v>
      </c>
      <c r="Q784" s="1" t="s">
        <v>2464</v>
      </c>
      <c r="R784" s="1" t="s">
        <v>61</v>
      </c>
      <c r="S784" s="1" t="s">
        <v>2595</v>
      </c>
    </row>
    <row r="785" spans="1:19" ht="91.2">
      <c r="A785" s="1" t="s">
        <v>3013</v>
      </c>
      <c r="B785" s="1" t="s">
        <v>1382</v>
      </c>
      <c r="C785" s="1" t="s">
        <v>1382</v>
      </c>
      <c r="D785" s="1" t="s">
        <v>1382</v>
      </c>
      <c r="E785" s="1" t="s">
        <v>22</v>
      </c>
      <c r="F785" s="1" t="s">
        <v>3014</v>
      </c>
      <c r="G785" s="1" t="s">
        <v>1218</v>
      </c>
      <c r="H785" s="1" t="s">
        <v>1384</v>
      </c>
      <c r="I785" s="1" t="s">
        <v>3015</v>
      </c>
      <c r="J785" s="2">
        <v>25</v>
      </c>
      <c r="K785" s="3">
        <v>42.410150000000002</v>
      </c>
      <c r="L785" s="3">
        <v>69.634060000000005</v>
      </c>
      <c r="M785" s="1" t="s">
        <v>3016</v>
      </c>
      <c r="N785" s="1" t="s">
        <v>2484</v>
      </c>
      <c r="O785" s="1" t="s">
        <v>1065</v>
      </c>
      <c r="P785" s="1" t="s">
        <v>59</v>
      </c>
      <c r="Q785" s="1" t="s">
        <v>2464</v>
      </c>
      <c r="R785" s="1" t="s">
        <v>61</v>
      </c>
      <c r="S785" s="1" t="s">
        <v>2595</v>
      </c>
    </row>
    <row r="786" spans="1:19" ht="91.2">
      <c r="A786" s="1" t="s">
        <v>3017</v>
      </c>
      <c r="B786" s="1" t="s">
        <v>1382</v>
      </c>
      <c r="C786" s="1" t="s">
        <v>1382</v>
      </c>
      <c r="D786" s="1" t="s">
        <v>1382</v>
      </c>
      <c r="E786" s="1" t="s">
        <v>22</v>
      </c>
      <c r="F786" s="1" t="s">
        <v>3018</v>
      </c>
      <c r="G786" s="1" t="s">
        <v>403</v>
      </c>
      <c r="H786" s="1" t="s">
        <v>1384</v>
      </c>
      <c r="I786" s="1" t="s">
        <v>3019</v>
      </c>
      <c r="J786" s="2">
        <v>25</v>
      </c>
      <c r="K786" s="3">
        <v>42.375906999999998</v>
      </c>
      <c r="L786" s="3">
        <v>69.617148999999998</v>
      </c>
      <c r="M786" s="1" t="s">
        <v>3020</v>
      </c>
      <c r="N786" s="1" t="s">
        <v>2495</v>
      </c>
      <c r="O786" s="1" t="s">
        <v>1065</v>
      </c>
      <c r="P786" s="1" t="s">
        <v>59</v>
      </c>
      <c r="Q786" s="1" t="s">
        <v>2464</v>
      </c>
      <c r="R786" s="1" t="s">
        <v>61</v>
      </c>
      <c r="S786" s="1" t="s">
        <v>2595</v>
      </c>
    </row>
    <row r="787" spans="1:19" ht="91.2">
      <c r="A787" s="1" t="s">
        <v>3021</v>
      </c>
      <c r="B787" s="1" t="s">
        <v>1382</v>
      </c>
      <c r="C787" s="1" t="s">
        <v>1382</v>
      </c>
      <c r="D787" s="1" t="s">
        <v>1382</v>
      </c>
      <c r="E787" s="1" t="s">
        <v>22</v>
      </c>
      <c r="F787" s="1" t="s">
        <v>3022</v>
      </c>
      <c r="G787" s="1" t="s">
        <v>1218</v>
      </c>
      <c r="H787" s="1" t="s">
        <v>1384</v>
      </c>
      <c r="I787" s="1" t="s">
        <v>3023</v>
      </c>
      <c r="J787" s="2">
        <v>25</v>
      </c>
      <c r="K787" s="3">
        <v>42.391398000000002</v>
      </c>
      <c r="L787" s="3">
        <v>69.655520999999993</v>
      </c>
      <c r="M787" s="1" t="s">
        <v>3024</v>
      </c>
      <c r="N787" s="1" t="s">
        <v>2645</v>
      </c>
      <c r="O787" s="1" t="s">
        <v>1065</v>
      </c>
      <c r="P787" s="1" t="s">
        <v>59</v>
      </c>
      <c r="Q787" s="1" t="s">
        <v>2464</v>
      </c>
      <c r="R787" s="1" t="s">
        <v>61</v>
      </c>
      <c r="S787" s="1" t="s">
        <v>2595</v>
      </c>
    </row>
    <row r="788" spans="1:19" ht="91.2">
      <c r="A788" s="1" t="s">
        <v>3025</v>
      </c>
      <c r="B788" s="1" t="s">
        <v>1382</v>
      </c>
      <c r="C788" s="1" t="s">
        <v>1382</v>
      </c>
      <c r="D788" s="1" t="s">
        <v>1382</v>
      </c>
      <c r="E788" s="1" t="s">
        <v>22</v>
      </c>
      <c r="F788" s="1" t="s">
        <v>3026</v>
      </c>
      <c r="G788" s="1" t="s">
        <v>1218</v>
      </c>
      <c r="H788" s="1" t="s">
        <v>1384</v>
      </c>
      <c r="I788" s="1" t="s">
        <v>3027</v>
      </c>
      <c r="J788" s="2">
        <v>25</v>
      </c>
      <c r="K788" s="3">
        <v>42.396650000000001</v>
      </c>
      <c r="L788" s="3">
        <v>69.681945999999996</v>
      </c>
      <c r="M788" s="1" t="s">
        <v>3028</v>
      </c>
      <c r="N788" s="1" t="s">
        <v>2484</v>
      </c>
      <c r="O788" s="1" t="s">
        <v>1065</v>
      </c>
      <c r="P788" s="1" t="s">
        <v>59</v>
      </c>
      <c r="Q788" s="1" t="s">
        <v>2464</v>
      </c>
      <c r="R788" s="1" t="s">
        <v>61</v>
      </c>
      <c r="S788" s="1" t="s">
        <v>2595</v>
      </c>
    </row>
    <row r="789" spans="1:19" ht="91.2">
      <c r="A789" s="1" t="s">
        <v>3029</v>
      </c>
      <c r="B789" s="1" t="s">
        <v>1382</v>
      </c>
      <c r="C789" s="1" t="s">
        <v>1382</v>
      </c>
      <c r="D789" s="1" t="s">
        <v>1382</v>
      </c>
      <c r="E789" s="1" t="s">
        <v>22</v>
      </c>
      <c r="F789" s="1" t="s">
        <v>3030</v>
      </c>
      <c r="G789" s="1" t="s">
        <v>614</v>
      </c>
      <c r="H789" s="1" t="s">
        <v>1384</v>
      </c>
      <c r="I789" s="1" t="s">
        <v>3031</v>
      </c>
      <c r="J789" s="2">
        <v>25</v>
      </c>
      <c r="K789" s="3">
        <v>42.310156999999997</v>
      </c>
      <c r="L789" s="3">
        <v>69.577045999999996</v>
      </c>
      <c r="M789" s="1" t="s">
        <v>3032</v>
      </c>
      <c r="N789" s="1" t="s">
        <v>2594</v>
      </c>
      <c r="O789" s="1" t="s">
        <v>1065</v>
      </c>
      <c r="P789" s="1" t="s">
        <v>59</v>
      </c>
      <c r="Q789" s="1" t="s">
        <v>2464</v>
      </c>
      <c r="R789" s="1" t="s">
        <v>61</v>
      </c>
      <c r="S789" s="1" t="s">
        <v>2471</v>
      </c>
    </row>
    <row r="790" spans="1:19" ht="91.2">
      <c r="A790" s="1" t="s">
        <v>3033</v>
      </c>
      <c r="B790" s="1" t="s">
        <v>1382</v>
      </c>
      <c r="C790" s="1" t="s">
        <v>1382</v>
      </c>
      <c r="D790" s="1" t="s">
        <v>1382</v>
      </c>
      <c r="E790" s="1" t="s">
        <v>22</v>
      </c>
      <c r="F790" s="1" t="s">
        <v>3034</v>
      </c>
      <c r="G790" s="1" t="s">
        <v>614</v>
      </c>
      <c r="H790" s="1" t="s">
        <v>1384</v>
      </c>
      <c r="I790" s="1" t="s">
        <v>3035</v>
      </c>
      <c r="J790" s="2">
        <v>25</v>
      </c>
      <c r="K790" s="3">
        <v>42.326419000000001</v>
      </c>
      <c r="L790" s="3">
        <v>69.576327000000006</v>
      </c>
      <c r="M790" s="1" t="s">
        <v>3036</v>
      </c>
      <c r="N790" s="1" t="s">
        <v>2594</v>
      </c>
      <c r="O790" s="1" t="s">
        <v>1065</v>
      </c>
      <c r="P790" s="1" t="s">
        <v>59</v>
      </c>
      <c r="Q790" s="1" t="s">
        <v>2464</v>
      </c>
      <c r="R790" s="1" t="s">
        <v>61</v>
      </c>
      <c r="S790" s="1" t="s">
        <v>2595</v>
      </c>
    </row>
    <row r="791" spans="1:19" ht="91.2">
      <c r="A791" s="1" t="s">
        <v>3037</v>
      </c>
      <c r="B791" s="1" t="s">
        <v>1382</v>
      </c>
      <c r="C791" s="1" t="s">
        <v>1382</v>
      </c>
      <c r="D791" s="1" t="s">
        <v>1382</v>
      </c>
      <c r="E791" s="1" t="s">
        <v>22</v>
      </c>
      <c r="F791" s="1" t="s">
        <v>3038</v>
      </c>
      <c r="G791" s="1" t="s">
        <v>403</v>
      </c>
      <c r="H791" s="1" t="s">
        <v>1384</v>
      </c>
      <c r="I791" s="1" t="s">
        <v>3039</v>
      </c>
      <c r="J791" s="2">
        <v>25</v>
      </c>
      <c r="K791" s="3">
        <v>42.369937999999998</v>
      </c>
      <c r="L791" s="3">
        <v>69.542514999999995</v>
      </c>
      <c r="M791" s="1" t="s">
        <v>3040</v>
      </c>
      <c r="N791" s="1" t="s">
        <v>2495</v>
      </c>
      <c r="O791" s="1" t="s">
        <v>1065</v>
      </c>
      <c r="P791" s="1" t="s">
        <v>59</v>
      </c>
      <c r="Q791" s="1" t="s">
        <v>2464</v>
      </c>
      <c r="R791" s="1" t="s">
        <v>61</v>
      </c>
      <c r="S791" s="1" t="s">
        <v>2595</v>
      </c>
    </row>
    <row r="792" spans="1:19" ht="91.2">
      <c r="A792" s="1" t="s">
        <v>3041</v>
      </c>
      <c r="B792" s="1" t="s">
        <v>1382</v>
      </c>
      <c r="C792" s="1" t="s">
        <v>1382</v>
      </c>
      <c r="D792" s="1" t="s">
        <v>1382</v>
      </c>
      <c r="E792" s="1" t="s">
        <v>22</v>
      </c>
      <c r="F792" s="1" t="s">
        <v>3042</v>
      </c>
      <c r="G792" s="1" t="s">
        <v>1218</v>
      </c>
      <c r="H792" s="1" t="s">
        <v>1384</v>
      </c>
      <c r="I792" s="1" t="s">
        <v>3043</v>
      </c>
      <c r="J792" s="2">
        <v>25</v>
      </c>
      <c r="K792" s="3">
        <v>42.369309999999999</v>
      </c>
      <c r="L792" s="3">
        <v>69.66986</v>
      </c>
      <c r="M792" s="1" t="s">
        <v>3044</v>
      </c>
      <c r="N792" s="1" t="s">
        <v>2645</v>
      </c>
      <c r="O792" s="1" t="s">
        <v>1065</v>
      </c>
      <c r="P792" s="1" t="s">
        <v>59</v>
      </c>
      <c r="Q792" s="1" t="s">
        <v>2464</v>
      </c>
      <c r="R792" s="1" t="s">
        <v>61</v>
      </c>
      <c r="S792" s="1" t="s">
        <v>2595</v>
      </c>
    </row>
    <row r="793" spans="1:19" ht="91.2">
      <c r="A793" s="1" t="s">
        <v>3045</v>
      </c>
      <c r="B793" s="1" t="s">
        <v>1382</v>
      </c>
      <c r="C793" s="1" t="s">
        <v>1382</v>
      </c>
      <c r="D793" s="1" t="s">
        <v>1382</v>
      </c>
      <c r="E793" s="1" t="s">
        <v>22</v>
      </c>
      <c r="F793" s="1" t="s">
        <v>3046</v>
      </c>
      <c r="G793" s="1" t="s">
        <v>403</v>
      </c>
      <c r="H793" s="1" t="s">
        <v>3047</v>
      </c>
      <c r="I793" s="1" t="s">
        <v>3048</v>
      </c>
      <c r="J793" s="2">
        <v>25</v>
      </c>
      <c r="K793" s="3">
        <v>42.411295000000003</v>
      </c>
      <c r="L793" s="3">
        <v>69.619343000000001</v>
      </c>
      <c r="M793" s="1" t="s">
        <v>3049</v>
      </c>
      <c r="N793" s="1" t="s">
        <v>2470</v>
      </c>
      <c r="O793" s="1" t="s">
        <v>1065</v>
      </c>
      <c r="P793" s="1" t="s">
        <v>59</v>
      </c>
      <c r="Q793" s="1" t="s">
        <v>2464</v>
      </c>
      <c r="R793" s="1" t="s">
        <v>61</v>
      </c>
      <c r="S793" s="1" t="s">
        <v>2471</v>
      </c>
    </row>
    <row r="794" spans="1:19" ht="91.2">
      <c r="A794" s="1" t="s">
        <v>3050</v>
      </c>
      <c r="B794" s="1" t="s">
        <v>1382</v>
      </c>
      <c r="C794" s="1" t="s">
        <v>1382</v>
      </c>
      <c r="D794" s="1" t="s">
        <v>1382</v>
      </c>
      <c r="E794" s="1" t="s">
        <v>22</v>
      </c>
      <c r="F794" s="1" t="s">
        <v>3051</v>
      </c>
      <c r="G794" s="1" t="s">
        <v>614</v>
      </c>
      <c r="H794" s="1" t="s">
        <v>1384</v>
      </c>
      <c r="I794" s="1" t="s">
        <v>3052</v>
      </c>
      <c r="J794" s="2">
        <v>25</v>
      </c>
      <c r="K794" s="3">
        <v>42.339793999999998</v>
      </c>
      <c r="L794" s="3">
        <v>69.559303999999997</v>
      </c>
      <c r="M794" s="1" t="s">
        <v>3053</v>
      </c>
      <c r="N794" s="1" t="s">
        <v>2594</v>
      </c>
      <c r="O794" s="1" t="s">
        <v>1065</v>
      </c>
      <c r="P794" s="1" t="s">
        <v>59</v>
      </c>
      <c r="Q794" s="1" t="s">
        <v>2464</v>
      </c>
      <c r="R794" s="1" t="s">
        <v>61</v>
      </c>
      <c r="S794" s="1" t="s">
        <v>2595</v>
      </c>
    </row>
    <row r="795" spans="1:19" ht="91.2">
      <c r="A795" s="1" t="s">
        <v>3054</v>
      </c>
      <c r="B795" s="1" t="s">
        <v>1382</v>
      </c>
      <c r="C795" s="1" t="s">
        <v>1382</v>
      </c>
      <c r="D795" s="1" t="s">
        <v>1382</v>
      </c>
      <c r="E795" s="1" t="s">
        <v>22</v>
      </c>
      <c r="F795" s="1" t="s">
        <v>3055</v>
      </c>
      <c r="G795" s="1" t="s">
        <v>614</v>
      </c>
      <c r="H795" s="1" t="s">
        <v>1384</v>
      </c>
      <c r="I795" s="1" t="s">
        <v>3056</v>
      </c>
      <c r="J795" s="2">
        <v>25</v>
      </c>
      <c r="K795" s="3">
        <v>42.320687</v>
      </c>
      <c r="L795" s="3">
        <v>69.572643999999997</v>
      </c>
      <c r="M795" s="1" t="s">
        <v>3057</v>
      </c>
      <c r="N795" s="1" t="s">
        <v>2594</v>
      </c>
      <c r="O795" s="1" t="s">
        <v>1065</v>
      </c>
      <c r="P795" s="1" t="s">
        <v>59</v>
      </c>
      <c r="Q795" s="1" t="s">
        <v>2464</v>
      </c>
      <c r="R795" s="1" t="s">
        <v>61</v>
      </c>
      <c r="S795" s="1" t="s">
        <v>2471</v>
      </c>
    </row>
    <row r="796" spans="1:19" ht="91.2">
      <c r="A796" s="1" t="s">
        <v>3058</v>
      </c>
      <c r="B796" s="1" t="s">
        <v>1382</v>
      </c>
      <c r="C796" s="1" t="s">
        <v>1382</v>
      </c>
      <c r="D796" s="1" t="s">
        <v>1382</v>
      </c>
      <c r="E796" s="1" t="s">
        <v>22</v>
      </c>
      <c r="F796" s="1" t="s">
        <v>3059</v>
      </c>
      <c r="G796" s="1" t="s">
        <v>403</v>
      </c>
      <c r="H796" s="1" t="s">
        <v>1384</v>
      </c>
      <c r="I796" s="1" t="s">
        <v>3060</v>
      </c>
      <c r="J796" s="2">
        <v>25</v>
      </c>
      <c r="K796" s="3">
        <v>42.404952999999999</v>
      </c>
      <c r="L796" s="3">
        <v>69.574331999999998</v>
      </c>
      <c r="M796" s="1" t="s">
        <v>3061</v>
      </c>
      <c r="N796" s="1" t="s">
        <v>2470</v>
      </c>
      <c r="O796" s="1" t="s">
        <v>1065</v>
      </c>
      <c r="P796" s="1" t="s">
        <v>59</v>
      </c>
      <c r="Q796" s="1" t="s">
        <v>2464</v>
      </c>
      <c r="R796" s="1" t="s">
        <v>61</v>
      </c>
      <c r="S796" s="1" t="s">
        <v>2595</v>
      </c>
    </row>
    <row r="797" spans="1:19" ht="91.2">
      <c r="A797" s="1" t="s">
        <v>3062</v>
      </c>
      <c r="B797" s="1" t="s">
        <v>1382</v>
      </c>
      <c r="C797" s="1" t="s">
        <v>1382</v>
      </c>
      <c r="D797" s="1" t="s">
        <v>1382</v>
      </c>
      <c r="E797" s="1" t="s">
        <v>22</v>
      </c>
      <c r="F797" s="1" t="s">
        <v>3063</v>
      </c>
      <c r="G797" s="1" t="s">
        <v>403</v>
      </c>
      <c r="H797" s="1" t="s">
        <v>1384</v>
      </c>
      <c r="I797" s="1" t="s">
        <v>3064</v>
      </c>
      <c r="J797" s="2">
        <v>25</v>
      </c>
      <c r="K797" s="3">
        <v>42.436635000000003</v>
      </c>
      <c r="L797" s="3">
        <v>69.554969</v>
      </c>
      <c r="M797" s="1" t="s">
        <v>3065</v>
      </c>
      <c r="N797" s="1" t="s">
        <v>2506</v>
      </c>
      <c r="O797" s="1" t="s">
        <v>1065</v>
      </c>
      <c r="P797" s="1" t="s">
        <v>59</v>
      </c>
      <c r="Q797" s="1" t="s">
        <v>2464</v>
      </c>
      <c r="R797" s="1" t="s">
        <v>61</v>
      </c>
      <c r="S797" s="1" t="s">
        <v>2595</v>
      </c>
    </row>
    <row r="798" spans="1:19" ht="91.2">
      <c r="A798" s="1" t="s">
        <v>3066</v>
      </c>
      <c r="B798" s="1" t="s">
        <v>1382</v>
      </c>
      <c r="C798" s="1" t="s">
        <v>1382</v>
      </c>
      <c r="D798" s="1" t="s">
        <v>1382</v>
      </c>
      <c r="E798" s="1" t="s">
        <v>22</v>
      </c>
      <c r="F798" s="1" t="s">
        <v>3067</v>
      </c>
      <c r="G798" s="1" t="s">
        <v>1295</v>
      </c>
      <c r="H798" s="1" t="s">
        <v>1384</v>
      </c>
      <c r="I798" s="1" t="s">
        <v>3068</v>
      </c>
      <c r="J798" s="2">
        <v>25</v>
      </c>
      <c r="K798" s="3">
        <v>42.325553999999997</v>
      </c>
      <c r="L798" s="3">
        <v>69.637940999999998</v>
      </c>
      <c r="M798" s="1" t="s">
        <v>3069</v>
      </c>
      <c r="N798" s="1" t="s">
        <v>1401</v>
      </c>
      <c r="O798" s="1" t="s">
        <v>1065</v>
      </c>
      <c r="P798" s="1" t="s">
        <v>59</v>
      </c>
      <c r="Q798" s="1" t="s">
        <v>2464</v>
      </c>
      <c r="R798" s="1" t="s">
        <v>61</v>
      </c>
      <c r="S798" s="1" t="s">
        <v>2471</v>
      </c>
    </row>
    <row r="799" spans="1:19" ht="91.2">
      <c r="A799" s="1" t="s">
        <v>3070</v>
      </c>
      <c r="B799" s="1" t="s">
        <v>3071</v>
      </c>
      <c r="C799" s="1" t="s">
        <v>3071</v>
      </c>
      <c r="D799" s="1" t="s">
        <v>3071</v>
      </c>
      <c r="E799" s="1" t="s">
        <v>22</v>
      </c>
      <c r="F799" s="1" t="s">
        <v>3072</v>
      </c>
      <c r="G799" s="1" t="s">
        <v>1218</v>
      </c>
      <c r="H799" s="1" t="s">
        <v>1384</v>
      </c>
      <c r="I799" s="1" t="s">
        <v>3073</v>
      </c>
      <c r="J799" s="2">
        <v>25</v>
      </c>
      <c r="K799" s="3">
        <v>42.361899000000001</v>
      </c>
      <c r="L799" s="3">
        <v>69.633989999999997</v>
      </c>
      <c r="M799" s="1" t="s">
        <v>3074</v>
      </c>
      <c r="N799" s="1" t="s">
        <v>2645</v>
      </c>
      <c r="O799" s="1" t="s">
        <v>1065</v>
      </c>
      <c r="P799" s="1" t="s">
        <v>59</v>
      </c>
      <c r="Q799" s="1" t="s">
        <v>2464</v>
      </c>
      <c r="R799" s="1" t="s">
        <v>61</v>
      </c>
      <c r="S799" s="1" t="s">
        <v>2471</v>
      </c>
    </row>
    <row r="800" spans="1:19" ht="79.8">
      <c r="A800" s="1" t="s">
        <v>3075</v>
      </c>
      <c r="B800" s="1" t="s">
        <v>3076</v>
      </c>
      <c r="C800" s="1" t="s">
        <v>3076</v>
      </c>
      <c r="D800" s="1" t="s">
        <v>55</v>
      </c>
      <c r="E800" s="1" t="s">
        <v>27</v>
      </c>
      <c r="F800" s="1" t="s">
        <v>3077</v>
      </c>
      <c r="G800" s="1" t="s">
        <v>403</v>
      </c>
      <c r="H800" s="1" t="s">
        <v>3078</v>
      </c>
      <c r="I800" s="1" t="s">
        <v>3079</v>
      </c>
      <c r="J800" s="2"/>
      <c r="K800" s="3">
        <v>42.404114999999997</v>
      </c>
      <c r="L800" s="3">
        <v>69.566643999999997</v>
      </c>
      <c r="M800" s="1" t="s">
        <v>3080</v>
      </c>
      <c r="N800" s="1" t="s">
        <v>2506</v>
      </c>
      <c r="O800" s="1" t="s">
        <v>1051</v>
      </c>
      <c r="P800" s="1" t="s">
        <v>59</v>
      </c>
      <c r="Q800" s="1" t="s">
        <v>2464</v>
      </c>
      <c r="R800" s="1" t="s">
        <v>61</v>
      </c>
      <c r="S800" s="1"/>
    </row>
    <row r="801" spans="1:19" ht="79.8">
      <c r="A801" s="1" t="s">
        <v>3081</v>
      </c>
      <c r="B801" s="1" t="s">
        <v>3082</v>
      </c>
      <c r="C801" s="1" t="s">
        <v>3082</v>
      </c>
      <c r="D801" s="1" t="s">
        <v>55</v>
      </c>
      <c r="E801" s="1" t="s">
        <v>22</v>
      </c>
      <c r="F801" s="1" t="s">
        <v>3083</v>
      </c>
      <c r="G801" s="1" t="s">
        <v>1218</v>
      </c>
      <c r="H801" s="1" t="s">
        <v>3084</v>
      </c>
      <c r="I801" s="1"/>
      <c r="J801" s="2"/>
      <c r="K801" s="3">
        <v>42.392605000000003</v>
      </c>
      <c r="L801" s="3">
        <v>69.671381999999994</v>
      </c>
      <c r="M801" s="1" t="s">
        <v>3085</v>
      </c>
      <c r="N801" s="1" t="s">
        <v>2484</v>
      </c>
      <c r="O801" s="1" t="s">
        <v>1051</v>
      </c>
      <c r="P801" s="1" t="s">
        <v>59</v>
      </c>
      <c r="Q801" s="1" t="s">
        <v>2464</v>
      </c>
      <c r="R801" s="1" t="s">
        <v>61</v>
      </c>
      <c r="S801" s="1" t="s">
        <v>2465</v>
      </c>
    </row>
    <row r="802" spans="1:19" ht="79.8">
      <c r="A802" s="1" t="s">
        <v>3086</v>
      </c>
      <c r="B802" s="1" t="s">
        <v>3087</v>
      </c>
      <c r="C802" s="1" t="s">
        <v>3087</v>
      </c>
      <c r="D802" s="1" t="s">
        <v>55</v>
      </c>
      <c r="E802" s="1" t="s">
        <v>29</v>
      </c>
      <c r="F802" s="1" t="s">
        <v>3088</v>
      </c>
      <c r="G802" s="1" t="s">
        <v>1218</v>
      </c>
      <c r="H802" s="1" t="s">
        <v>3089</v>
      </c>
      <c r="I802" s="1"/>
      <c r="J802" s="2"/>
      <c r="K802" s="3">
        <v>42.374107000000002</v>
      </c>
      <c r="L802" s="3">
        <v>69.702583000000004</v>
      </c>
      <c r="M802" s="1" t="s">
        <v>3090</v>
      </c>
      <c r="N802" s="1" t="s">
        <v>2478</v>
      </c>
      <c r="O802" s="1" t="s">
        <v>1051</v>
      </c>
      <c r="P802" s="1" t="s">
        <v>59</v>
      </c>
      <c r="Q802" s="1" t="s">
        <v>2464</v>
      </c>
      <c r="R802" s="1" t="s">
        <v>61</v>
      </c>
      <c r="S802" s="1"/>
    </row>
    <row r="803" spans="1:19" ht="79.8">
      <c r="A803" s="1" t="s">
        <v>3091</v>
      </c>
      <c r="B803" s="1" t="s">
        <v>3092</v>
      </c>
      <c r="C803" s="1" t="s">
        <v>3092</v>
      </c>
      <c r="D803" s="1" t="s">
        <v>55</v>
      </c>
      <c r="E803" s="1" t="s">
        <v>22</v>
      </c>
      <c r="F803" s="1" t="s">
        <v>3093</v>
      </c>
      <c r="G803" s="1" t="s">
        <v>1218</v>
      </c>
      <c r="H803" s="1" t="s">
        <v>3094</v>
      </c>
      <c r="I803" s="1" t="s">
        <v>3095</v>
      </c>
      <c r="J803" s="2"/>
      <c r="K803" s="3">
        <v>42.403621000000001</v>
      </c>
      <c r="L803" s="3">
        <v>69.653840000000002</v>
      </c>
      <c r="M803" s="1" t="s">
        <v>3096</v>
      </c>
      <c r="N803" s="1" t="s">
        <v>2478</v>
      </c>
      <c r="O803" s="1" t="s">
        <v>1051</v>
      </c>
      <c r="P803" s="1" t="s">
        <v>59</v>
      </c>
      <c r="Q803" s="1" t="s">
        <v>2464</v>
      </c>
      <c r="R803" s="1" t="s">
        <v>61</v>
      </c>
      <c r="S803" s="1" t="s">
        <v>2465</v>
      </c>
    </row>
    <row r="804" spans="1:19" ht="79.8">
      <c r="A804" s="1" t="s">
        <v>3097</v>
      </c>
      <c r="B804" s="1" t="s">
        <v>3098</v>
      </c>
      <c r="C804" s="1" t="s">
        <v>3098</v>
      </c>
      <c r="D804" s="1" t="s">
        <v>55</v>
      </c>
      <c r="E804" s="1" t="s">
        <v>22</v>
      </c>
      <c r="F804" s="1" t="s">
        <v>3099</v>
      </c>
      <c r="G804" s="1" t="s">
        <v>614</v>
      </c>
      <c r="H804" s="1" t="s">
        <v>3100</v>
      </c>
      <c r="I804" s="1"/>
      <c r="J804" s="2"/>
      <c r="K804" s="3">
        <v>42.338321000000001</v>
      </c>
      <c r="L804" s="3">
        <v>69.582279</v>
      </c>
      <c r="M804" s="1" t="s">
        <v>3101</v>
      </c>
      <c r="N804" s="1" t="s">
        <v>2500</v>
      </c>
      <c r="O804" s="1" t="s">
        <v>1051</v>
      </c>
      <c r="P804" s="1" t="s">
        <v>59</v>
      </c>
      <c r="Q804" s="1" t="s">
        <v>2464</v>
      </c>
      <c r="R804" s="1" t="s">
        <v>61</v>
      </c>
      <c r="S804" s="1"/>
    </row>
    <row r="805" spans="1:19" ht="79.8">
      <c r="A805" s="1" t="s">
        <v>3102</v>
      </c>
      <c r="B805" s="1" t="s">
        <v>3103</v>
      </c>
      <c r="C805" s="1" t="s">
        <v>3103</v>
      </c>
      <c r="D805" s="1" t="s">
        <v>55</v>
      </c>
      <c r="E805" s="1" t="s">
        <v>22</v>
      </c>
      <c r="F805" s="1" t="s">
        <v>3104</v>
      </c>
      <c r="G805" s="1" t="s">
        <v>251</v>
      </c>
      <c r="H805" s="1" t="s">
        <v>3105</v>
      </c>
      <c r="I805" s="1" t="s">
        <v>3106</v>
      </c>
      <c r="J805" s="2"/>
      <c r="K805" s="3">
        <v>42.298943000000001</v>
      </c>
      <c r="L805" s="3">
        <v>69.582487</v>
      </c>
      <c r="M805" s="1" t="s">
        <v>3107</v>
      </c>
      <c r="N805" s="1" t="s">
        <v>2620</v>
      </c>
      <c r="O805" s="1" t="s">
        <v>1051</v>
      </c>
      <c r="P805" s="1" t="s">
        <v>59</v>
      </c>
      <c r="Q805" s="1" t="s">
        <v>2464</v>
      </c>
      <c r="R805" s="1" t="s">
        <v>61</v>
      </c>
      <c r="S805" s="1"/>
    </row>
    <row r="806" spans="1:19" ht="79.8">
      <c r="A806" s="1" t="s">
        <v>3108</v>
      </c>
      <c r="B806" s="1" t="s">
        <v>3109</v>
      </c>
      <c r="C806" s="1" t="s">
        <v>3109</v>
      </c>
      <c r="D806" s="1" t="s">
        <v>55</v>
      </c>
      <c r="E806" s="1" t="s">
        <v>22</v>
      </c>
      <c r="F806" s="1" t="s">
        <v>3110</v>
      </c>
      <c r="G806" s="1" t="s">
        <v>251</v>
      </c>
      <c r="H806" s="1" t="s">
        <v>3111</v>
      </c>
      <c r="I806" s="1"/>
      <c r="J806" s="2"/>
      <c r="K806" s="3">
        <v>42.320112000000002</v>
      </c>
      <c r="L806" s="3">
        <v>69.609938999999997</v>
      </c>
      <c r="M806" s="1" t="s">
        <v>3112</v>
      </c>
      <c r="N806" s="1" t="s">
        <v>1159</v>
      </c>
      <c r="O806" s="1" t="s">
        <v>1051</v>
      </c>
      <c r="P806" s="1" t="s">
        <v>59</v>
      </c>
      <c r="Q806" s="1" t="s">
        <v>2464</v>
      </c>
      <c r="R806" s="1" t="s">
        <v>61</v>
      </c>
      <c r="S806" s="1"/>
    </row>
    <row r="807" spans="1:19" ht="79.8">
      <c r="A807" s="1" t="s">
        <v>3113</v>
      </c>
      <c r="B807" s="1" t="s">
        <v>3114</v>
      </c>
      <c r="C807" s="1" t="s">
        <v>3114</v>
      </c>
      <c r="D807" s="1" t="s">
        <v>55</v>
      </c>
      <c r="E807" s="1" t="s">
        <v>22</v>
      </c>
      <c r="F807" s="1" t="s">
        <v>3115</v>
      </c>
      <c r="G807" s="1" t="s">
        <v>614</v>
      </c>
      <c r="H807" s="1" t="s">
        <v>3116</v>
      </c>
      <c r="I807" s="1"/>
      <c r="J807" s="2"/>
      <c r="K807" s="3">
        <v>42.321274000000003</v>
      </c>
      <c r="L807" s="3">
        <v>69.580561000000003</v>
      </c>
      <c r="M807" s="1" t="s">
        <v>3117</v>
      </c>
      <c r="N807" s="1" t="s">
        <v>2500</v>
      </c>
      <c r="O807" s="1" t="s">
        <v>1051</v>
      </c>
      <c r="P807" s="1" t="s">
        <v>59</v>
      </c>
      <c r="Q807" s="1" t="s">
        <v>2464</v>
      </c>
      <c r="R807" s="1" t="s">
        <v>61</v>
      </c>
      <c r="S807" s="1"/>
    </row>
    <row r="808" spans="1:19" ht="79.8">
      <c r="A808" s="1" t="s">
        <v>3118</v>
      </c>
      <c r="B808" s="1" t="s">
        <v>3119</v>
      </c>
      <c r="C808" s="1" t="s">
        <v>3119</v>
      </c>
      <c r="D808" s="1" t="s">
        <v>55</v>
      </c>
      <c r="E808" s="1" t="s">
        <v>22</v>
      </c>
      <c r="F808" s="1" t="s">
        <v>3120</v>
      </c>
      <c r="G808" s="1" t="s">
        <v>1218</v>
      </c>
      <c r="H808" s="1" t="s">
        <v>3121</v>
      </c>
      <c r="I808" s="1"/>
      <c r="J808" s="2"/>
      <c r="K808" s="3">
        <v>42.357543</v>
      </c>
      <c r="L808" s="3">
        <v>69.682237000000001</v>
      </c>
      <c r="M808" s="1" t="s">
        <v>3122</v>
      </c>
      <c r="N808" s="1" t="s">
        <v>2478</v>
      </c>
      <c r="O808" s="1" t="s">
        <v>1051</v>
      </c>
      <c r="P808" s="1" t="s">
        <v>59</v>
      </c>
      <c r="Q808" s="1" t="s">
        <v>2464</v>
      </c>
      <c r="R808" s="1" t="s">
        <v>61</v>
      </c>
      <c r="S808" s="1"/>
    </row>
    <row r="809" spans="1:19" ht="79.8">
      <c r="A809" s="1" t="s">
        <v>3123</v>
      </c>
      <c r="B809" s="1" t="s">
        <v>3124</v>
      </c>
      <c r="C809" s="1" t="s">
        <v>3124</v>
      </c>
      <c r="D809" s="1" t="s">
        <v>55</v>
      </c>
      <c r="E809" s="1" t="s">
        <v>27</v>
      </c>
      <c r="F809" s="1" t="s">
        <v>3125</v>
      </c>
      <c r="G809" s="1" t="s">
        <v>1295</v>
      </c>
      <c r="H809" s="1"/>
      <c r="I809" s="1"/>
      <c r="J809" s="2"/>
      <c r="K809" s="3">
        <v>42.335321</v>
      </c>
      <c r="L809" s="3">
        <v>69.673698999999999</v>
      </c>
      <c r="M809" s="1" t="s">
        <v>3126</v>
      </c>
      <c r="N809" s="1" t="s">
        <v>2561</v>
      </c>
      <c r="O809" s="1" t="s">
        <v>1051</v>
      </c>
      <c r="P809" s="1" t="s">
        <v>59</v>
      </c>
      <c r="Q809" s="1" t="s">
        <v>2464</v>
      </c>
      <c r="R809" s="1" t="s">
        <v>61</v>
      </c>
      <c r="S809" s="1"/>
    </row>
    <row r="810" spans="1:19" ht="79.8">
      <c r="A810" s="1" t="s">
        <v>3127</v>
      </c>
      <c r="B810" s="1" t="s">
        <v>3128</v>
      </c>
      <c r="C810" s="1" t="s">
        <v>3128</v>
      </c>
      <c r="D810" s="1" t="s">
        <v>55</v>
      </c>
      <c r="E810" s="1" t="s">
        <v>22</v>
      </c>
      <c r="F810" s="1" t="s">
        <v>3129</v>
      </c>
      <c r="G810" s="1" t="s">
        <v>403</v>
      </c>
      <c r="H810" s="1" t="s">
        <v>3130</v>
      </c>
      <c r="I810" s="1"/>
      <c r="J810" s="2"/>
      <c r="K810" s="3">
        <v>42.377496999999998</v>
      </c>
      <c r="L810" s="3">
        <v>69.540643000000003</v>
      </c>
      <c r="M810" s="1" t="s">
        <v>3131</v>
      </c>
      <c r="N810" s="1" t="s">
        <v>2495</v>
      </c>
      <c r="O810" s="1" t="s">
        <v>1051</v>
      </c>
      <c r="P810" s="1" t="s">
        <v>59</v>
      </c>
      <c r="Q810" s="1" t="s">
        <v>2464</v>
      </c>
      <c r="R810" s="1" t="s">
        <v>61</v>
      </c>
      <c r="S810" s="1"/>
    </row>
    <row r="811" spans="1:19" ht="79.8">
      <c r="A811" s="1" t="s">
        <v>3132</v>
      </c>
      <c r="B811" s="1" t="s">
        <v>3133</v>
      </c>
      <c r="C811" s="1" t="s">
        <v>3133</v>
      </c>
      <c r="D811" s="1" t="s">
        <v>3133</v>
      </c>
      <c r="E811" s="1" t="s">
        <v>22</v>
      </c>
      <c r="F811" s="1" t="s">
        <v>3134</v>
      </c>
      <c r="G811" s="1" t="s">
        <v>1218</v>
      </c>
      <c r="H811" s="1"/>
      <c r="I811" s="1" t="s">
        <v>3135</v>
      </c>
      <c r="J811" s="2">
        <v>2</v>
      </c>
      <c r="K811" s="3">
        <v>42.362569000000001</v>
      </c>
      <c r="L811" s="3">
        <v>69.624161999999998</v>
      </c>
      <c r="M811" s="1" t="s">
        <v>3136</v>
      </c>
      <c r="N811" s="1" t="s">
        <v>2484</v>
      </c>
      <c r="O811" s="1" t="s">
        <v>1065</v>
      </c>
      <c r="P811" s="1" t="s">
        <v>59</v>
      </c>
      <c r="Q811" s="1" t="s">
        <v>2464</v>
      </c>
      <c r="R811" s="1" t="s">
        <v>61</v>
      </c>
      <c r="S811" s="1" t="s">
        <v>2595</v>
      </c>
    </row>
    <row r="812" spans="1:19" ht="79.8">
      <c r="A812" s="1" t="s">
        <v>3137</v>
      </c>
      <c r="B812" s="1" t="s">
        <v>3138</v>
      </c>
      <c r="C812" s="1" t="s">
        <v>3138</v>
      </c>
      <c r="D812" s="1" t="s">
        <v>55</v>
      </c>
      <c r="E812" s="1" t="s">
        <v>22</v>
      </c>
      <c r="F812" s="1" t="s">
        <v>3139</v>
      </c>
      <c r="G812" s="1" t="s">
        <v>1295</v>
      </c>
      <c r="H812" s="1" t="s">
        <v>3140</v>
      </c>
      <c r="I812" s="1"/>
      <c r="J812" s="2"/>
      <c r="K812" s="3">
        <v>42.309327000000003</v>
      </c>
      <c r="L812" s="3">
        <v>69.727361000000002</v>
      </c>
      <c r="M812" s="1" t="s">
        <v>3141</v>
      </c>
      <c r="N812" s="1" t="s">
        <v>2561</v>
      </c>
      <c r="O812" s="1" t="s">
        <v>1051</v>
      </c>
      <c r="P812" s="1" t="s">
        <v>59</v>
      </c>
      <c r="Q812" s="1" t="s">
        <v>2464</v>
      </c>
      <c r="R812" s="1" t="s">
        <v>61</v>
      </c>
      <c r="S812" s="1"/>
    </row>
    <row r="813" spans="1:19" ht="79.8">
      <c r="A813" s="1" t="s">
        <v>3142</v>
      </c>
      <c r="B813" s="1" t="s">
        <v>3143</v>
      </c>
      <c r="C813" s="1" t="s">
        <v>3143</v>
      </c>
      <c r="D813" s="1" t="s">
        <v>55</v>
      </c>
      <c r="E813" s="1" t="s">
        <v>22</v>
      </c>
      <c r="F813" s="1" t="s">
        <v>3144</v>
      </c>
      <c r="G813" s="1" t="s">
        <v>1218</v>
      </c>
      <c r="H813" s="1" t="s">
        <v>1253</v>
      </c>
      <c r="I813" s="1" t="s">
        <v>3145</v>
      </c>
      <c r="J813" s="2"/>
      <c r="K813" s="3">
        <v>42.357934999999998</v>
      </c>
      <c r="L813" s="3">
        <v>69.651193000000006</v>
      </c>
      <c r="M813" s="1" t="s">
        <v>3146</v>
      </c>
      <c r="N813" s="1" t="s">
        <v>2645</v>
      </c>
      <c r="O813" s="1" t="s">
        <v>1051</v>
      </c>
      <c r="P813" s="1" t="s">
        <v>59</v>
      </c>
      <c r="Q813" s="1" t="s">
        <v>2464</v>
      </c>
      <c r="R813" s="1" t="s">
        <v>61</v>
      </c>
      <c r="S813" s="1" t="s">
        <v>2465</v>
      </c>
    </row>
    <row r="814" spans="1:19" ht="79.8">
      <c r="A814" s="1" t="s">
        <v>3147</v>
      </c>
      <c r="B814" s="1" t="s">
        <v>3148</v>
      </c>
      <c r="C814" s="1" t="s">
        <v>3148</v>
      </c>
      <c r="D814" s="1" t="s">
        <v>55</v>
      </c>
      <c r="E814" s="1" t="s">
        <v>22</v>
      </c>
      <c r="F814" s="1" t="s">
        <v>3149</v>
      </c>
      <c r="G814" s="1" t="s">
        <v>251</v>
      </c>
      <c r="H814" s="1" t="s">
        <v>3150</v>
      </c>
      <c r="I814" s="1"/>
      <c r="J814" s="2"/>
      <c r="K814" s="3">
        <v>42.326515000000001</v>
      </c>
      <c r="L814" s="3">
        <v>69.624848999999998</v>
      </c>
      <c r="M814" s="1" t="s">
        <v>3151</v>
      </c>
      <c r="N814" s="1" t="s">
        <v>2604</v>
      </c>
      <c r="O814" s="1" t="s">
        <v>1051</v>
      </c>
      <c r="P814" s="1" t="s">
        <v>59</v>
      </c>
      <c r="Q814" s="1" t="s">
        <v>2464</v>
      </c>
      <c r="R814" s="1" t="s">
        <v>61</v>
      </c>
      <c r="S814" s="1" t="s">
        <v>2465</v>
      </c>
    </row>
    <row r="815" spans="1:19" ht="79.8">
      <c r="A815" s="1" t="s">
        <v>3152</v>
      </c>
      <c r="B815" s="1" t="s">
        <v>3153</v>
      </c>
      <c r="C815" s="1" t="s">
        <v>3153</v>
      </c>
      <c r="D815" s="1" t="s">
        <v>3153</v>
      </c>
      <c r="E815" s="1" t="s">
        <v>22</v>
      </c>
      <c r="F815" s="1" t="s">
        <v>3154</v>
      </c>
      <c r="G815" s="1" t="s">
        <v>1218</v>
      </c>
      <c r="H815" s="1"/>
      <c r="I815" s="1" t="s">
        <v>3155</v>
      </c>
      <c r="J815" s="2">
        <v>2</v>
      </c>
      <c r="K815" s="3">
        <v>42.360880999999999</v>
      </c>
      <c r="L815" s="3">
        <v>69.635661999999996</v>
      </c>
      <c r="M815" s="1" t="s">
        <v>3156</v>
      </c>
      <c r="N815" s="1" t="s">
        <v>2645</v>
      </c>
      <c r="O815" s="1" t="s">
        <v>1065</v>
      </c>
      <c r="P815" s="1" t="s">
        <v>59</v>
      </c>
      <c r="Q815" s="1" t="s">
        <v>2464</v>
      </c>
      <c r="R815" s="1" t="s">
        <v>61</v>
      </c>
      <c r="S815" s="1" t="s">
        <v>2595</v>
      </c>
    </row>
    <row r="816" spans="1:19" ht="79.8">
      <c r="A816" s="1" t="s">
        <v>3157</v>
      </c>
      <c r="B816" s="1" t="s">
        <v>3153</v>
      </c>
      <c r="C816" s="1" t="s">
        <v>3153</v>
      </c>
      <c r="D816" s="1" t="s">
        <v>3153</v>
      </c>
      <c r="E816" s="1" t="s">
        <v>22</v>
      </c>
      <c r="F816" s="1" t="s">
        <v>3158</v>
      </c>
      <c r="G816" s="1" t="s">
        <v>251</v>
      </c>
      <c r="H816" s="1" t="s">
        <v>1164</v>
      </c>
      <c r="I816" s="1" t="s">
        <v>3159</v>
      </c>
      <c r="J816" s="2">
        <v>2</v>
      </c>
      <c r="K816" s="3">
        <v>42.305990999999999</v>
      </c>
      <c r="L816" s="3">
        <v>69.582490000000007</v>
      </c>
      <c r="M816" s="1" t="s">
        <v>3160</v>
      </c>
      <c r="N816" s="1" t="s">
        <v>2604</v>
      </c>
      <c r="O816" s="1" t="s">
        <v>1065</v>
      </c>
      <c r="P816" s="1" t="s">
        <v>59</v>
      </c>
      <c r="Q816" s="1" t="s">
        <v>2464</v>
      </c>
      <c r="R816" s="1" t="s">
        <v>61</v>
      </c>
      <c r="S816" s="1" t="s">
        <v>2471</v>
      </c>
    </row>
    <row r="817" spans="1:19" ht="79.8">
      <c r="A817" s="1" t="s">
        <v>3161</v>
      </c>
      <c r="B817" s="1" t="s">
        <v>3162</v>
      </c>
      <c r="C817" s="1" t="s">
        <v>3162</v>
      </c>
      <c r="D817" s="1" t="s">
        <v>55</v>
      </c>
      <c r="E817" s="1" t="s">
        <v>22</v>
      </c>
      <c r="F817" s="1" t="s">
        <v>3163</v>
      </c>
      <c r="G817" s="1" t="s">
        <v>614</v>
      </c>
      <c r="H817" s="1" t="s">
        <v>3164</v>
      </c>
      <c r="I817" s="1"/>
      <c r="J817" s="2"/>
      <c r="K817" s="3">
        <v>42.336703999999997</v>
      </c>
      <c r="L817" s="3">
        <v>69.596883000000005</v>
      </c>
      <c r="M817" s="1" t="s">
        <v>3165</v>
      </c>
      <c r="N817" s="1" t="s">
        <v>2489</v>
      </c>
      <c r="O817" s="1" t="s">
        <v>1051</v>
      </c>
      <c r="P817" s="1" t="s">
        <v>59</v>
      </c>
      <c r="Q817" s="1" t="s">
        <v>2464</v>
      </c>
      <c r="R817" s="1" t="s">
        <v>61</v>
      </c>
      <c r="S817" s="1"/>
    </row>
    <row r="818" spans="1:19" ht="79.8">
      <c r="A818" s="1" t="s">
        <v>3166</v>
      </c>
      <c r="B818" s="1" t="s">
        <v>3167</v>
      </c>
      <c r="C818" s="1" t="s">
        <v>3167</v>
      </c>
      <c r="D818" s="1" t="s">
        <v>55</v>
      </c>
      <c r="E818" s="1" t="s">
        <v>22</v>
      </c>
      <c r="F818" s="1" t="s">
        <v>3168</v>
      </c>
      <c r="G818" s="1" t="s">
        <v>403</v>
      </c>
      <c r="H818" s="1" t="s">
        <v>3169</v>
      </c>
      <c r="I818" s="1" t="s">
        <v>3170</v>
      </c>
      <c r="J818" s="2"/>
      <c r="K818" s="3">
        <v>42.381965999999998</v>
      </c>
      <c r="L818" s="3">
        <v>69.622885999999994</v>
      </c>
      <c r="M818" s="1" t="s">
        <v>3171</v>
      </c>
      <c r="N818" s="1" t="s">
        <v>2470</v>
      </c>
      <c r="O818" s="1" t="s">
        <v>1051</v>
      </c>
      <c r="P818" s="1" t="s">
        <v>59</v>
      </c>
      <c r="Q818" s="1" t="s">
        <v>2464</v>
      </c>
      <c r="R818" s="1" t="s">
        <v>61</v>
      </c>
      <c r="S818" s="1" t="s">
        <v>2465</v>
      </c>
    </row>
    <row r="819" spans="1:19" ht="79.8">
      <c r="A819" s="1" t="s">
        <v>3172</v>
      </c>
      <c r="B819" s="1" t="s">
        <v>3173</v>
      </c>
      <c r="C819" s="1" t="s">
        <v>3173</v>
      </c>
      <c r="D819" s="1" t="s">
        <v>55</v>
      </c>
      <c r="E819" s="1" t="s">
        <v>22</v>
      </c>
      <c r="F819" s="1" t="s">
        <v>3174</v>
      </c>
      <c r="G819" s="1" t="s">
        <v>403</v>
      </c>
      <c r="H819" s="1" t="s">
        <v>3175</v>
      </c>
      <c r="I819" s="1"/>
      <c r="J819" s="2"/>
      <c r="K819" s="3">
        <v>42.36936</v>
      </c>
      <c r="L819" s="3">
        <v>69.552137999999999</v>
      </c>
      <c r="M819" s="1" t="s">
        <v>3176</v>
      </c>
      <c r="N819" s="1" t="s">
        <v>2528</v>
      </c>
      <c r="O819" s="1" t="s">
        <v>1051</v>
      </c>
      <c r="P819" s="1" t="s">
        <v>59</v>
      </c>
      <c r="Q819" s="1" t="s">
        <v>2464</v>
      </c>
      <c r="R819" s="1" t="s">
        <v>61</v>
      </c>
      <c r="S819" s="1"/>
    </row>
    <row r="820" spans="1:19" ht="79.8">
      <c r="A820" s="1" t="s">
        <v>3177</v>
      </c>
      <c r="B820" s="1" t="s">
        <v>3178</v>
      </c>
      <c r="C820" s="1" t="s">
        <v>3178</v>
      </c>
      <c r="D820" s="1" t="s">
        <v>55</v>
      </c>
      <c r="E820" s="1" t="s">
        <v>29</v>
      </c>
      <c r="F820" s="1" t="s">
        <v>3179</v>
      </c>
      <c r="G820" s="1" t="s">
        <v>251</v>
      </c>
      <c r="H820" s="1" t="s">
        <v>3180</v>
      </c>
      <c r="I820" s="1"/>
      <c r="J820" s="2"/>
      <c r="K820" s="3">
        <v>42.342492999999997</v>
      </c>
      <c r="L820" s="3">
        <v>69.632971999999995</v>
      </c>
      <c r="M820" s="1" t="s">
        <v>3181</v>
      </c>
      <c r="N820" s="1" t="s">
        <v>2604</v>
      </c>
      <c r="O820" s="1" t="s">
        <v>1051</v>
      </c>
      <c r="P820" s="1" t="s">
        <v>59</v>
      </c>
      <c r="Q820" s="1" t="s">
        <v>2464</v>
      </c>
      <c r="R820" s="1" t="s">
        <v>61</v>
      </c>
      <c r="S820" s="1"/>
    </row>
    <row r="821" spans="1:19" ht="79.8">
      <c r="A821" s="1" t="s">
        <v>3182</v>
      </c>
      <c r="B821" s="1" t="s">
        <v>3183</v>
      </c>
      <c r="C821" s="1" t="s">
        <v>3183</v>
      </c>
      <c r="D821" s="1" t="s">
        <v>55</v>
      </c>
      <c r="E821" s="1" t="s">
        <v>22</v>
      </c>
      <c r="F821" s="1" t="s">
        <v>2895</v>
      </c>
      <c r="G821" s="1" t="s">
        <v>403</v>
      </c>
      <c r="H821" s="1" t="s">
        <v>3184</v>
      </c>
      <c r="I821" s="1"/>
      <c r="J821" s="2"/>
      <c r="K821" s="3">
        <v>42.404366000000003</v>
      </c>
      <c r="L821" s="3">
        <v>69.631426000000005</v>
      </c>
      <c r="M821" s="1" t="s">
        <v>3185</v>
      </c>
      <c r="N821" s="1" t="s">
        <v>2470</v>
      </c>
      <c r="O821" s="1" t="s">
        <v>1051</v>
      </c>
      <c r="P821" s="1" t="s">
        <v>59</v>
      </c>
      <c r="Q821" s="1" t="s">
        <v>2464</v>
      </c>
      <c r="R821" s="1" t="s">
        <v>61</v>
      </c>
      <c r="S821" s="1" t="s">
        <v>2465</v>
      </c>
    </row>
    <row r="822" spans="1:19" ht="79.8">
      <c r="A822" s="1" t="s">
        <v>3186</v>
      </c>
      <c r="B822" s="1" t="s">
        <v>3187</v>
      </c>
      <c r="C822" s="1" t="s">
        <v>3187</v>
      </c>
      <c r="D822" s="1" t="s">
        <v>55</v>
      </c>
      <c r="E822" s="1" t="s">
        <v>22</v>
      </c>
      <c r="F822" s="1" t="s">
        <v>3188</v>
      </c>
      <c r="G822" s="1" t="s">
        <v>251</v>
      </c>
      <c r="H822" s="1" t="s">
        <v>3189</v>
      </c>
      <c r="I822" s="1" t="s">
        <v>3190</v>
      </c>
      <c r="J822" s="2"/>
      <c r="K822" s="3">
        <v>42.317323000000002</v>
      </c>
      <c r="L822" s="3">
        <v>69.592095</v>
      </c>
      <c r="M822" s="1" t="s">
        <v>3191</v>
      </c>
      <c r="N822" s="1" t="s">
        <v>2604</v>
      </c>
      <c r="O822" s="1" t="s">
        <v>1051</v>
      </c>
      <c r="P822" s="1" t="s">
        <v>59</v>
      </c>
      <c r="Q822" s="1" t="s">
        <v>2464</v>
      </c>
      <c r="R822" s="1" t="s">
        <v>61</v>
      </c>
      <c r="S822" s="1"/>
    </row>
    <row r="823" spans="1:19" ht="79.8">
      <c r="A823" s="1" t="s">
        <v>3192</v>
      </c>
      <c r="B823" s="1" t="s">
        <v>3193</v>
      </c>
      <c r="C823" s="1" t="s">
        <v>3193</v>
      </c>
      <c r="D823" s="1" t="s">
        <v>55</v>
      </c>
      <c r="E823" s="1" t="s">
        <v>22</v>
      </c>
      <c r="F823" s="1" t="s">
        <v>3194</v>
      </c>
      <c r="G823" s="1" t="s">
        <v>614</v>
      </c>
      <c r="H823" s="1" t="s">
        <v>3195</v>
      </c>
      <c r="I823" s="1"/>
      <c r="J823" s="2"/>
      <c r="K823" s="3">
        <v>42.308185000000002</v>
      </c>
      <c r="L823" s="3">
        <v>69.566730000000007</v>
      </c>
      <c r="M823" s="1" t="s">
        <v>3196</v>
      </c>
      <c r="N823" s="1" t="s">
        <v>2489</v>
      </c>
      <c r="O823" s="1" t="s">
        <v>1051</v>
      </c>
      <c r="P823" s="1" t="s">
        <v>59</v>
      </c>
      <c r="Q823" s="1" t="s">
        <v>2464</v>
      </c>
      <c r="R823" s="1" t="s">
        <v>61</v>
      </c>
      <c r="S823" s="1" t="s">
        <v>2465</v>
      </c>
    </row>
    <row r="824" spans="1:19" ht="79.8">
      <c r="A824" s="1" t="s">
        <v>3197</v>
      </c>
      <c r="B824" s="1" t="s">
        <v>3198</v>
      </c>
      <c r="C824" s="1" t="s">
        <v>3198</v>
      </c>
      <c r="D824" s="1" t="s">
        <v>55</v>
      </c>
      <c r="E824" s="1" t="s">
        <v>22</v>
      </c>
      <c r="F824" s="1" t="s">
        <v>3199</v>
      </c>
      <c r="G824" s="1" t="s">
        <v>403</v>
      </c>
      <c r="H824" s="1" t="s">
        <v>3200</v>
      </c>
      <c r="I824" s="1"/>
      <c r="J824" s="2"/>
      <c r="K824" s="3">
        <v>42.359181</v>
      </c>
      <c r="L824" s="3">
        <v>69.549757999999997</v>
      </c>
      <c r="M824" s="1" t="s">
        <v>3201</v>
      </c>
      <c r="N824" s="1" t="s">
        <v>2506</v>
      </c>
      <c r="O824" s="1" t="s">
        <v>1051</v>
      </c>
      <c r="P824" s="1" t="s">
        <v>59</v>
      </c>
      <c r="Q824" s="1" t="s">
        <v>2464</v>
      </c>
      <c r="R824" s="1" t="s">
        <v>61</v>
      </c>
      <c r="S824" s="1"/>
    </row>
    <row r="825" spans="1:19" ht="79.8">
      <c r="A825" s="1" t="s">
        <v>3202</v>
      </c>
      <c r="B825" s="1" t="s">
        <v>3203</v>
      </c>
      <c r="C825" s="1" t="s">
        <v>3203</v>
      </c>
      <c r="D825" s="1" t="s">
        <v>55</v>
      </c>
      <c r="E825" s="1" t="s">
        <v>22</v>
      </c>
      <c r="F825" s="1" t="s">
        <v>3204</v>
      </c>
      <c r="G825" s="1" t="s">
        <v>614</v>
      </c>
      <c r="H825" s="1" t="s">
        <v>3205</v>
      </c>
      <c r="I825" s="1"/>
      <c r="J825" s="2"/>
      <c r="K825" s="3">
        <v>42.322139</v>
      </c>
      <c r="L825" s="3">
        <v>69.585723999999999</v>
      </c>
      <c r="M825" s="1" t="s">
        <v>3206</v>
      </c>
      <c r="N825" s="1" t="s">
        <v>2500</v>
      </c>
      <c r="O825" s="1" t="s">
        <v>1051</v>
      </c>
      <c r="P825" s="1" t="s">
        <v>59</v>
      </c>
      <c r="Q825" s="1" t="s">
        <v>2464</v>
      </c>
      <c r="R825" s="1" t="s">
        <v>61</v>
      </c>
      <c r="S825" s="1"/>
    </row>
    <row r="826" spans="1:19" ht="79.8">
      <c r="A826" s="1" t="s">
        <v>3207</v>
      </c>
      <c r="B826" s="1" t="s">
        <v>3208</v>
      </c>
      <c r="C826" s="1" t="s">
        <v>3208</v>
      </c>
      <c r="D826" s="1" t="s">
        <v>55</v>
      </c>
      <c r="E826" s="1" t="s">
        <v>22</v>
      </c>
      <c r="F826" s="1" t="s">
        <v>3209</v>
      </c>
      <c r="G826" s="1" t="s">
        <v>403</v>
      </c>
      <c r="H826" s="1" t="s">
        <v>3210</v>
      </c>
      <c r="I826" s="1"/>
      <c r="J826" s="2"/>
      <c r="K826" s="3">
        <v>42.383311999999997</v>
      </c>
      <c r="L826" s="3">
        <v>69.487999000000002</v>
      </c>
      <c r="M826" s="1" t="s">
        <v>3211</v>
      </c>
      <c r="N826" s="1" t="s">
        <v>2470</v>
      </c>
      <c r="O826" s="1" t="s">
        <v>1051</v>
      </c>
      <c r="P826" s="1" t="s">
        <v>59</v>
      </c>
      <c r="Q826" s="1" t="s">
        <v>2464</v>
      </c>
      <c r="R826" s="1" t="s">
        <v>61</v>
      </c>
      <c r="S826" s="1"/>
    </row>
    <row r="827" spans="1:19" ht="79.8">
      <c r="A827" s="1" t="s">
        <v>3212</v>
      </c>
      <c r="B827" s="1" t="s">
        <v>3213</v>
      </c>
      <c r="C827" s="1" t="s">
        <v>3213</v>
      </c>
      <c r="D827" s="1" t="s">
        <v>55</v>
      </c>
      <c r="E827" s="1" t="s">
        <v>22</v>
      </c>
      <c r="F827" s="1" t="s">
        <v>3214</v>
      </c>
      <c r="G827" s="1" t="s">
        <v>1295</v>
      </c>
      <c r="H827" s="1" t="s">
        <v>615</v>
      </c>
      <c r="I827" s="1"/>
      <c r="J827" s="2"/>
      <c r="K827" s="3">
        <v>42.194032999999997</v>
      </c>
      <c r="L827" s="3">
        <v>69.818020000000004</v>
      </c>
      <c r="M827" s="1" t="s">
        <v>3215</v>
      </c>
      <c r="N827" s="1" t="s">
        <v>2561</v>
      </c>
      <c r="O827" s="1" t="s">
        <v>1051</v>
      </c>
      <c r="P827" s="1" t="s">
        <v>59</v>
      </c>
      <c r="Q827" s="1" t="s">
        <v>2464</v>
      </c>
      <c r="R827" s="1" t="s">
        <v>61</v>
      </c>
      <c r="S827" s="1"/>
    </row>
    <row r="828" spans="1:19" ht="79.8">
      <c r="A828" s="1" t="s">
        <v>3216</v>
      </c>
      <c r="B828" s="1" t="s">
        <v>1571</v>
      </c>
      <c r="C828" s="1" t="s">
        <v>1571</v>
      </c>
      <c r="D828" s="1" t="s">
        <v>3217</v>
      </c>
      <c r="E828" s="1" t="s">
        <v>22</v>
      </c>
      <c r="F828" s="1" t="s">
        <v>3218</v>
      </c>
      <c r="G828" s="1" t="s">
        <v>1218</v>
      </c>
      <c r="H828" s="1" t="s">
        <v>3219</v>
      </c>
      <c r="I828" s="1"/>
      <c r="J828" s="2"/>
      <c r="K828" s="3">
        <v>42.39141</v>
      </c>
      <c r="L828" s="3">
        <v>69.656799000000007</v>
      </c>
      <c r="M828" s="1" t="s">
        <v>3220</v>
      </c>
      <c r="N828" s="1" t="s">
        <v>2484</v>
      </c>
      <c r="O828" s="1" t="s">
        <v>1051</v>
      </c>
      <c r="P828" s="1" t="s">
        <v>59</v>
      </c>
      <c r="Q828" s="1" t="s">
        <v>2464</v>
      </c>
      <c r="R828" s="1" t="s">
        <v>61</v>
      </c>
      <c r="S828" s="1"/>
    </row>
    <row r="829" spans="1:19" ht="79.8">
      <c r="A829" s="1" t="s">
        <v>3221</v>
      </c>
      <c r="B829" s="1" t="s">
        <v>1571</v>
      </c>
      <c r="C829" s="1" t="s">
        <v>1571</v>
      </c>
      <c r="D829" s="1" t="s">
        <v>1571</v>
      </c>
      <c r="E829" s="1" t="s">
        <v>22</v>
      </c>
      <c r="F829" s="1" t="s">
        <v>3222</v>
      </c>
      <c r="G829" s="1" t="s">
        <v>1295</v>
      </c>
      <c r="H829" s="1"/>
      <c r="I829" s="1" t="s">
        <v>3223</v>
      </c>
      <c r="J829" s="2">
        <v>5</v>
      </c>
      <c r="K829" s="3">
        <v>42.284903</v>
      </c>
      <c r="L829" s="3">
        <v>69.765754000000001</v>
      </c>
      <c r="M829" s="1" t="s">
        <v>3224</v>
      </c>
      <c r="N829" s="1" t="s">
        <v>2561</v>
      </c>
      <c r="O829" s="1" t="s">
        <v>1065</v>
      </c>
      <c r="P829" s="1" t="s">
        <v>59</v>
      </c>
      <c r="Q829" s="1" t="s">
        <v>2464</v>
      </c>
      <c r="R829" s="1" t="s">
        <v>61</v>
      </c>
      <c r="S829" s="1" t="s">
        <v>2595</v>
      </c>
    </row>
    <row r="830" spans="1:19" ht="79.8">
      <c r="A830" s="1" t="s">
        <v>3225</v>
      </c>
      <c r="B830" s="1" t="s">
        <v>3226</v>
      </c>
      <c r="C830" s="1" t="s">
        <v>3226</v>
      </c>
      <c r="D830" s="1" t="s">
        <v>55</v>
      </c>
      <c r="E830" s="1" t="s">
        <v>22</v>
      </c>
      <c r="F830" s="1" t="s">
        <v>3227</v>
      </c>
      <c r="G830" s="1" t="s">
        <v>614</v>
      </c>
      <c r="H830" s="1" t="s">
        <v>3228</v>
      </c>
      <c r="I830" s="1"/>
      <c r="J830" s="2"/>
      <c r="K830" s="3">
        <v>42.324024000000001</v>
      </c>
      <c r="L830" s="3">
        <v>69.580567000000002</v>
      </c>
      <c r="M830" s="1" t="s">
        <v>3229</v>
      </c>
      <c r="N830" s="1" t="s">
        <v>2500</v>
      </c>
      <c r="O830" s="1" t="s">
        <v>1051</v>
      </c>
      <c r="P830" s="1" t="s">
        <v>59</v>
      </c>
      <c r="Q830" s="1" t="s">
        <v>2464</v>
      </c>
      <c r="R830" s="1" t="s">
        <v>61</v>
      </c>
      <c r="S830" s="1"/>
    </row>
    <row r="831" spans="1:19" ht="91.2">
      <c r="A831" s="1" t="s">
        <v>3230</v>
      </c>
      <c r="B831" s="1" t="s">
        <v>1060</v>
      </c>
      <c r="C831" s="1" t="s">
        <v>1060</v>
      </c>
      <c r="D831" s="1" t="s">
        <v>1060</v>
      </c>
      <c r="E831" s="1" t="s">
        <v>22</v>
      </c>
      <c r="F831" s="1" t="s">
        <v>3231</v>
      </c>
      <c r="G831" s="1"/>
      <c r="H831" s="1" t="s">
        <v>3232</v>
      </c>
      <c r="I831" s="1" t="s">
        <v>3233</v>
      </c>
      <c r="J831" s="2">
        <v>14</v>
      </c>
      <c r="K831" s="3">
        <v>42.394911999999998</v>
      </c>
      <c r="L831" s="3">
        <v>69.682952</v>
      </c>
      <c r="M831" s="1" t="s">
        <v>3234</v>
      </c>
      <c r="N831" s="1"/>
      <c r="O831" s="1" t="s">
        <v>3235</v>
      </c>
      <c r="P831" s="1" t="s">
        <v>59</v>
      </c>
      <c r="Q831" s="1" t="s">
        <v>61</v>
      </c>
      <c r="R831" s="1" t="s">
        <v>61</v>
      </c>
      <c r="S831" s="1" t="s">
        <v>2595</v>
      </c>
    </row>
    <row r="832" spans="1:19" ht="68.400000000000006">
      <c r="A832" s="1" t="s">
        <v>3236</v>
      </c>
      <c r="B832" s="1" t="s">
        <v>1060</v>
      </c>
      <c r="C832" s="1" t="s">
        <v>1060</v>
      </c>
      <c r="D832" s="1" t="s">
        <v>1060</v>
      </c>
      <c r="E832" s="1" t="s">
        <v>22</v>
      </c>
      <c r="F832" s="1" t="s">
        <v>3237</v>
      </c>
      <c r="G832" s="1"/>
      <c r="H832" s="1"/>
      <c r="I832" s="1" t="s">
        <v>3238</v>
      </c>
      <c r="J832" s="2">
        <v>14</v>
      </c>
      <c r="K832" s="3">
        <v>42.366826000000003</v>
      </c>
      <c r="L832" s="3">
        <v>69.553804</v>
      </c>
      <c r="M832" s="1" t="s">
        <v>3239</v>
      </c>
      <c r="N832" s="1"/>
      <c r="O832" s="1" t="s">
        <v>3235</v>
      </c>
      <c r="P832" s="1" t="s">
        <v>59</v>
      </c>
      <c r="Q832" s="1" t="s">
        <v>61</v>
      </c>
      <c r="R832" s="1" t="s">
        <v>61</v>
      </c>
      <c r="S832" s="1" t="s">
        <v>2595</v>
      </c>
    </row>
    <row r="833" spans="1:19" ht="68.400000000000006">
      <c r="A833" s="1" t="s">
        <v>3240</v>
      </c>
      <c r="B833" s="1" t="s">
        <v>1060</v>
      </c>
      <c r="C833" s="1" t="s">
        <v>1060</v>
      </c>
      <c r="D833" s="1" t="s">
        <v>1060</v>
      </c>
      <c r="E833" s="1" t="s">
        <v>22</v>
      </c>
      <c r="F833" s="1" t="s">
        <v>3241</v>
      </c>
      <c r="G833" s="1"/>
      <c r="H833" s="1" t="s">
        <v>3242</v>
      </c>
      <c r="I833" s="1" t="s">
        <v>3243</v>
      </c>
      <c r="J833" s="2">
        <v>14</v>
      </c>
      <c r="K833" s="3">
        <v>42.363512999999998</v>
      </c>
      <c r="L833" s="3">
        <v>69.572946000000002</v>
      </c>
      <c r="M833" s="1" t="s">
        <v>3244</v>
      </c>
      <c r="N833" s="1"/>
      <c r="O833" s="1" t="s">
        <v>3235</v>
      </c>
      <c r="P833" s="1" t="s">
        <v>59</v>
      </c>
      <c r="Q833" s="1" t="s">
        <v>61</v>
      </c>
      <c r="R833" s="1" t="s">
        <v>61</v>
      </c>
      <c r="S833" s="1" t="s">
        <v>2595</v>
      </c>
    </row>
    <row r="834" spans="1:19" ht="68.400000000000006">
      <c r="A834" s="1" t="s">
        <v>3245</v>
      </c>
      <c r="B834" s="1" t="s">
        <v>1060</v>
      </c>
      <c r="C834" s="1" t="s">
        <v>1060</v>
      </c>
      <c r="D834" s="1" t="s">
        <v>1060</v>
      </c>
      <c r="E834" s="1" t="s">
        <v>22</v>
      </c>
      <c r="F834" s="1" t="s">
        <v>3246</v>
      </c>
      <c r="G834" s="1"/>
      <c r="H834" s="1" t="s">
        <v>3247</v>
      </c>
      <c r="I834" s="1" t="s">
        <v>3248</v>
      </c>
      <c r="J834" s="2">
        <v>14</v>
      </c>
      <c r="K834" s="3">
        <v>42.362119999999997</v>
      </c>
      <c r="L834" s="3">
        <v>69.601399999999998</v>
      </c>
      <c r="M834" s="1" t="s">
        <v>3249</v>
      </c>
      <c r="N834" s="1"/>
      <c r="O834" s="1" t="s">
        <v>3235</v>
      </c>
      <c r="P834" s="1" t="s">
        <v>59</v>
      </c>
      <c r="Q834" s="1" t="s">
        <v>61</v>
      </c>
      <c r="R834" s="1" t="s">
        <v>61</v>
      </c>
      <c r="S834" s="1" t="s">
        <v>2595</v>
      </c>
    </row>
    <row r="835" spans="1:19" ht="68.400000000000006">
      <c r="A835" s="1" t="s">
        <v>3250</v>
      </c>
      <c r="B835" s="1" t="s">
        <v>1060</v>
      </c>
      <c r="C835" s="1" t="s">
        <v>1060</v>
      </c>
      <c r="D835" s="1" t="s">
        <v>1060</v>
      </c>
      <c r="E835" s="1" t="s">
        <v>22</v>
      </c>
      <c r="F835" s="1" t="s">
        <v>3251</v>
      </c>
      <c r="G835" s="1"/>
      <c r="H835" s="1"/>
      <c r="I835" s="1" t="s">
        <v>3252</v>
      </c>
      <c r="J835" s="2">
        <v>14</v>
      </c>
      <c r="K835" s="3">
        <v>42.428246000000001</v>
      </c>
      <c r="L835" s="3">
        <v>69.636488</v>
      </c>
      <c r="M835" s="1" t="s">
        <v>3253</v>
      </c>
      <c r="N835" s="1"/>
      <c r="O835" s="1" t="s">
        <v>3235</v>
      </c>
      <c r="P835" s="1" t="s">
        <v>59</v>
      </c>
      <c r="Q835" s="1" t="s">
        <v>61</v>
      </c>
      <c r="R835" s="1" t="s">
        <v>61</v>
      </c>
      <c r="S835" s="1" t="s">
        <v>2595</v>
      </c>
    </row>
    <row r="836" spans="1:19" ht="45.6">
      <c r="A836" s="1" t="s">
        <v>3254</v>
      </c>
      <c r="B836" s="1" t="s">
        <v>3255</v>
      </c>
      <c r="C836" s="1" t="s">
        <v>3133</v>
      </c>
      <c r="D836" s="1" t="s">
        <v>3255</v>
      </c>
      <c r="E836" s="1" t="s">
        <v>27</v>
      </c>
      <c r="F836" s="1" t="s">
        <v>3256</v>
      </c>
      <c r="G836" s="1"/>
      <c r="H836" s="1"/>
      <c r="I836" s="1" t="s">
        <v>3257</v>
      </c>
      <c r="J836" s="2">
        <v>2</v>
      </c>
      <c r="K836" s="3">
        <v>42.357483999999999</v>
      </c>
      <c r="L836" s="3">
        <v>69.634107</v>
      </c>
      <c r="M836" s="1" t="s">
        <v>3258</v>
      </c>
      <c r="N836" s="1"/>
      <c r="O836" s="1" t="s">
        <v>3235</v>
      </c>
      <c r="P836" s="1" t="s">
        <v>59</v>
      </c>
      <c r="Q836" s="1" t="s">
        <v>61</v>
      </c>
      <c r="R836" s="1" t="s">
        <v>61</v>
      </c>
      <c r="S836" s="1" t="s">
        <v>2595</v>
      </c>
    </row>
    <row r="837" spans="1:19" ht="45.6">
      <c r="A837" s="1" t="s">
        <v>3259</v>
      </c>
      <c r="B837" s="1" t="s">
        <v>1273</v>
      </c>
      <c r="C837" s="1" t="s">
        <v>1273</v>
      </c>
      <c r="D837" s="1" t="s">
        <v>1273</v>
      </c>
      <c r="E837" s="1" t="s">
        <v>22</v>
      </c>
      <c r="F837" s="1" t="s">
        <v>3260</v>
      </c>
      <c r="G837" s="1"/>
      <c r="H837" s="1"/>
      <c r="I837" s="1" t="s">
        <v>3261</v>
      </c>
      <c r="J837" s="2">
        <v>4</v>
      </c>
      <c r="K837" s="3">
        <v>42.419418999999998</v>
      </c>
      <c r="L837" s="3">
        <v>68.797425000000004</v>
      </c>
      <c r="M837" s="1" t="s">
        <v>3262</v>
      </c>
      <c r="N837" s="1"/>
      <c r="O837" s="1" t="s">
        <v>3235</v>
      </c>
      <c r="P837" s="1" t="s">
        <v>59</v>
      </c>
      <c r="Q837" s="1" t="s">
        <v>61</v>
      </c>
      <c r="R837" s="1" t="s">
        <v>61</v>
      </c>
      <c r="S837" s="1" t="s">
        <v>2595</v>
      </c>
    </row>
    <row r="838" spans="1:19" ht="45.6">
      <c r="A838" s="1" t="s">
        <v>3263</v>
      </c>
      <c r="B838" s="1" t="s">
        <v>3264</v>
      </c>
      <c r="C838" s="1" t="s">
        <v>3264</v>
      </c>
      <c r="D838" s="1" t="s">
        <v>3264</v>
      </c>
      <c r="E838" s="1" t="s">
        <v>29</v>
      </c>
      <c r="F838" s="1"/>
      <c r="G838" s="1"/>
      <c r="H838" s="1"/>
      <c r="I838" s="1" t="s">
        <v>3265</v>
      </c>
      <c r="J838" s="2">
        <v>4</v>
      </c>
      <c r="K838" s="3">
        <v>42.406627999999998</v>
      </c>
      <c r="L838" s="3">
        <v>69.454305000000005</v>
      </c>
      <c r="M838" s="1" t="s">
        <v>3266</v>
      </c>
      <c r="N838" s="1"/>
      <c r="O838" s="1" t="s">
        <v>3235</v>
      </c>
      <c r="P838" s="1" t="s">
        <v>59</v>
      </c>
      <c r="Q838" s="1" t="s">
        <v>61</v>
      </c>
      <c r="R838" s="1" t="s">
        <v>61</v>
      </c>
      <c r="S838" s="1" t="s">
        <v>2595</v>
      </c>
    </row>
    <row r="839" spans="1:19" ht="45.6">
      <c r="A839" s="1" t="s">
        <v>3267</v>
      </c>
      <c r="B839" s="1" t="s">
        <v>3264</v>
      </c>
      <c r="C839" s="1" t="s">
        <v>3264</v>
      </c>
      <c r="D839" s="1" t="s">
        <v>3264</v>
      </c>
      <c r="E839" s="1" t="s">
        <v>29</v>
      </c>
      <c r="F839" s="1"/>
      <c r="G839" s="1"/>
      <c r="H839" s="1"/>
      <c r="I839" s="1" t="s">
        <v>3268</v>
      </c>
      <c r="J839" s="2">
        <v>4</v>
      </c>
      <c r="K839" s="3">
        <v>42.448546999999998</v>
      </c>
      <c r="L839" s="3">
        <v>69.647913000000003</v>
      </c>
      <c r="M839" s="1" t="s">
        <v>3269</v>
      </c>
      <c r="N839" s="1"/>
      <c r="O839" s="1" t="s">
        <v>3235</v>
      </c>
      <c r="P839" s="1" t="s">
        <v>59</v>
      </c>
      <c r="Q839" s="1" t="s">
        <v>61</v>
      </c>
      <c r="R839" s="1" t="s">
        <v>61</v>
      </c>
      <c r="S839" s="1" t="s">
        <v>2595</v>
      </c>
    </row>
    <row r="840" spans="1:19" ht="45.6">
      <c r="A840" s="1" t="s">
        <v>3270</v>
      </c>
      <c r="B840" s="1" t="s">
        <v>3264</v>
      </c>
      <c r="C840" s="1" t="s">
        <v>3264</v>
      </c>
      <c r="D840" s="1" t="s">
        <v>3264</v>
      </c>
      <c r="E840" s="1" t="s">
        <v>29</v>
      </c>
      <c r="F840" s="1"/>
      <c r="G840" s="1"/>
      <c r="H840" s="1"/>
      <c r="I840" s="1" t="s">
        <v>3271</v>
      </c>
      <c r="J840" s="2">
        <v>4</v>
      </c>
      <c r="K840" s="3">
        <v>42.414489000000003</v>
      </c>
      <c r="L840" s="3">
        <v>69.677786999999995</v>
      </c>
      <c r="M840" s="1" t="s">
        <v>3272</v>
      </c>
      <c r="N840" s="1"/>
      <c r="O840" s="1" t="s">
        <v>3235</v>
      </c>
      <c r="P840" s="1" t="s">
        <v>59</v>
      </c>
      <c r="Q840" s="1" t="s">
        <v>61</v>
      </c>
      <c r="R840" s="1" t="s">
        <v>61</v>
      </c>
      <c r="S840" s="1" t="s">
        <v>2595</v>
      </c>
    </row>
    <row r="841" spans="1:19" ht="45.6">
      <c r="A841" s="1" t="s">
        <v>3273</v>
      </c>
      <c r="B841" s="1" t="s">
        <v>3264</v>
      </c>
      <c r="C841" s="1" t="s">
        <v>3264</v>
      </c>
      <c r="D841" s="1" t="s">
        <v>3264</v>
      </c>
      <c r="E841" s="1" t="s">
        <v>29</v>
      </c>
      <c r="F841" s="1" t="s">
        <v>3274</v>
      </c>
      <c r="G841" s="1"/>
      <c r="H841" s="1"/>
      <c r="I841" s="1" t="s">
        <v>3275</v>
      </c>
      <c r="J841" s="2">
        <v>4</v>
      </c>
      <c r="K841" s="3">
        <v>42.328086999999996</v>
      </c>
      <c r="L841" s="3">
        <v>69.631392000000005</v>
      </c>
      <c r="M841" s="1" t="s">
        <v>3276</v>
      </c>
      <c r="N841" s="1"/>
      <c r="O841" s="1" t="s">
        <v>3235</v>
      </c>
      <c r="P841" s="1" t="s">
        <v>59</v>
      </c>
      <c r="Q841" s="1" t="s">
        <v>61</v>
      </c>
      <c r="R841" s="1" t="s">
        <v>61</v>
      </c>
      <c r="S841" s="1" t="s">
        <v>2595</v>
      </c>
    </row>
    <row r="842" spans="1:19" ht="68.400000000000006">
      <c r="A842" s="1" t="s">
        <v>3277</v>
      </c>
      <c r="B842" s="1" t="s">
        <v>2986</v>
      </c>
      <c r="C842" s="1" t="s">
        <v>2986</v>
      </c>
      <c r="D842" s="1" t="s">
        <v>2986</v>
      </c>
      <c r="E842" s="1" t="s">
        <v>31</v>
      </c>
      <c r="F842" s="1" t="s">
        <v>3278</v>
      </c>
      <c r="G842" s="1"/>
      <c r="H842" s="1"/>
      <c r="I842" s="1" t="s">
        <v>3279</v>
      </c>
      <c r="J842" s="2">
        <v>2</v>
      </c>
      <c r="K842" s="3">
        <v>42.354157000000001</v>
      </c>
      <c r="L842" s="3">
        <v>69.644164000000004</v>
      </c>
      <c r="M842" s="1" t="s">
        <v>3280</v>
      </c>
      <c r="N842" s="1"/>
      <c r="O842" s="1" t="s">
        <v>3235</v>
      </c>
      <c r="P842" s="1" t="s">
        <v>59</v>
      </c>
      <c r="Q842" s="1" t="s">
        <v>61</v>
      </c>
      <c r="R842" s="1" t="s">
        <v>61</v>
      </c>
      <c r="S842" s="1" t="s">
        <v>2595</v>
      </c>
    </row>
    <row r="843" spans="1:19" ht="45.6">
      <c r="A843" s="1" t="s">
        <v>3281</v>
      </c>
      <c r="B843" s="1" t="s">
        <v>2995</v>
      </c>
      <c r="C843" s="1" t="s">
        <v>2995</v>
      </c>
      <c r="D843" s="1" t="s">
        <v>2995</v>
      </c>
      <c r="E843" s="1" t="s">
        <v>29</v>
      </c>
      <c r="F843" s="1" t="s">
        <v>3282</v>
      </c>
      <c r="G843" s="1"/>
      <c r="H843" s="1"/>
      <c r="I843" s="1" t="s">
        <v>3283</v>
      </c>
      <c r="J843" s="2">
        <v>2</v>
      </c>
      <c r="K843" s="3">
        <v>42.320044000000003</v>
      </c>
      <c r="L843" s="3">
        <v>69.589117999999999</v>
      </c>
      <c r="M843" s="1" t="s">
        <v>3284</v>
      </c>
      <c r="N843" s="1"/>
      <c r="O843" s="1" t="s">
        <v>3235</v>
      </c>
      <c r="P843" s="1" t="s">
        <v>59</v>
      </c>
      <c r="Q843" s="1" t="s">
        <v>61</v>
      </c>
      <c r="R843" s="1" t="s">
        <v>61</v>
      </c>
      <c r="S843" s="1" t="s">
        <v>2595</v>
      </c>
    </row>
    <row r="844" spans="1:19" ht="79.8">
      <c r="A844" s="1" t="s">
        <v>3285</v>
      </c>
      <c r="B844" s="1" t="s">
        <v>1382</v>
      </c>
      <c r="C844" s="1" t="s">
        <v>3071</v>
      </c>
      <c r="D844" s="1" t="s">
        <v>1382</v>
      </c>
      <c r="E844" s="1" t="s">
        <v>31</v>
      </c>
      <c r="F844" s="1" t="s">
        <v>3286</v>
      </c>
      <c r="G844" s="1"/>
      <c r="H844" s="1" t="s">
        <v>1384</v>
      </c>
      <c r="I844" s="1" t="s">
        <v>3287</v>
      </c>
      <c r="J844" s="2">
        <v>25</v>
      </c>
      <c r="K844" s="3">
        <v>42.412581000000003</v>
      </c>
      <c r="L844" s="3">
        <v>69.630718999999999</v>
      </c>
      <c r="M844" s="1" t="s">
        <v>3288</v>
      </c>
      <c r="N844" s="1"/>
      <c r="O844" s="1" t="s">
        <v>3235</v>
      </c>
      <c r="P844" s="1" t="s">
        <v>59</v>
      </c>
      <c r="Q844" s="1" t="s">
        <v>61</v>
      </c>
      <c r="R844" s="1" t="s">
        <v>61</v>
      </c>
      <c r="S844" s="1" t="s">
        <v>2595</v>
      </c>
    </row>
    <row r="845" spans="1:19" ht="68.400000000000006">
      <c r="A845" s="1" t="s">
        <v>3289</v>
      </c>
      <c r="B845" s="1" t="s">
        <v>1154</v>
      </c>
      <c r="C845" s="1" t="s">
        <v>1154</v>
      </c>
      <c r="D845" s="1" t="s">
        <v>1154</v>
      </c>
      <c r="E845" s="1" t="s">
        <v>29</v>
      </c>
      <c r="F845" s="1" t="s">
        <v>3290</v>
      </c>
      <c r="G845" s="1"/>
      <c r="H845" s="1" t="s">
        <v>3291</v>
      </c>
      <c r="I845" s="1" t="s">
        <v>3292</v>
      </c>
      <c r="J845" s="2">
        <v>3</v>
      </c>
      <c r="K845" s="3">
        <v>42.296692999999998</v>
      </c>
      <c r="L845" s="3">
        <v>69.606070000000003</v>
      </c>
      <c r="M845" s="1" t="s">
        <v>3293</v>
      </c>
      <c r="N845" s="1"/>
      <c r="O845" s="1" t="s">
        <v>3235</v>
      </c>
      <c r="P845" s="1" t="s">
        <v>59</v>
      </c>
      <c r="Q845" s="1" t="s">
        <v>61</v>
      </c>
      <c r="R845" s="1" t="s">
        <v>61</v>
      </c>
      <c r="S845" s="1" t="s">
        <v>2595</v>
      </c>
    </row>
    <row r="846" spans="1:19" ht="68.400000000000006">
      <c r="A846" s="1" t="s">
        <v>3294</v>
      </c>
      <c r="B846" s="1" t="s">
        <v>1154</v>
      </c>
      <c r="C846" s="1" t="s">
        <v>1154</v>
      </c>
      <c r="D846" s="1" t="s">
        <v>1154</v>
      </c>
      <c r="E846" s="1" t="s">
        <v>29</v>
      </c>
      <c r="F846" s="1" t="s">
        <v>3295</v>
      </c>
      <c r="G846" s="1"/>
      <c r="H846" s="1" t="s">
        <v>3296</v>
      </c>
      <c r="I846" s="1" t="s">
        <v>3297</v>
      </c>
      <c r="J846" s="2">
        <v>3</v>
      </c>
      <c r="K846" s="3">
        <v>42.300424</v>
      </c>
      <c r="L846" s="3">
        <v>69.579431</v>
      </c>
      <c r="M846" s="1" t="s">
        <v>3298</v>
      </c>
      <c r="N846" s="1"/>
      <c r="O846" s="1" t="s">
        <v>3235</v>
      </c>
      <c r="P846" s="1" t="s">
        <v>59</v>
      </c>
      <c r="Q846" s="1" t="s">
        <v>61</v>
      </c>
      <c r="R846" s="1" t="s">
        <v>61</v>
      </c>
      <c r="S846" s="1" t="s">
        <v>2595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70"/>
  <sheetViews>
    <sheetView showGridLines="0" workbookViewId="0"/>
  </sheetViews>
  <sheetFormatPr defaultRowHeight="13.8"/>
  <cols>
    <col min="1" max="1" width="20" customWidth="1"/>
    <col min="2" max="2" width="22" customWidth="1"/>
    <col min="3" max="3" width="23" customWidth="1"/>
    <col min="4" max="5" width="13" customWidth="1"/>
    <col min="6" max="6" width="27" customWidth="1"/>
    <col min="7" max="7" width="22" customWidth="1"/>
    <col min="8" max="8" width="25" customWidth="1"/>
    <col min="9" max="9" width="34" customWidth="1"/>
    <col min="10" max="10" width="48" customWidth="1"/>
    <col min="11" max="11" width="13" customWidth="1"/>
    <col min="12" max="12" width="34" customWidth="1"/>
  </cols>
  <sheetData>
    <row r="1" spans="1:12" ht="41.4">
      <c r="A1" s="6" t="s">
        <v>3299</v>
      </c>
      <c r="B1" s="6" t="s">
        <v>3300</v>
      </c>
      <c r="C1" s="6" t="s">
        <v>3301</v>
      </c>
      <c r="D1" s="6" t="s">
        <v>3302</v>
      </c>
      <c r="E1" s="6" t="s">
        <v>43</v>
      </c>
      <c r="F1" s="6" t="s">
        <v>3303</v>
      </c>
      <c r="G1" s="6" t="s">
        <v>3304</v>
      </c>
      <c r="H1" s="6" t="s">
        <v>3305</v>
      </c>
      <c r="I1" s="6" t="s">
        <v>3306</v>
      </c>
      <c r="J1" s="6" t="s">
        <v>3307</v>
      </c>
      <c r="K1" s="6" t="s">
        <v>49</v>
      </c>
      <c r="L1" s="6" t="s">
        <v>3308</v>
      </c>
    </row>
    <row r="2" spans="1:12">
      <c r="A2" s="1" t="s">
        <v>3309</v>
      </c>
      <c r="B2" s="1" t="s">
        <v>54</v>
      </c>
      <c r="C2" s="1" t="s">
        <v>3310</v>
      </c>
      <c r="D2" s="1">
        <v>1</v>
      </c>
      <c r="E2" s="1"/>
      <c r="F2" s="1" t="s">
        <v>20</v>
      </c>
      <c r="G2" s="1"/>
      <c r="H2" s="1"/>
      <c r="I2" s="1"/>
      <c r="J2" s="1" t="s">
        <v>57</v>
      </c>
      <c r="K2" s="1" t="s">
        <v>59</v>
      </c>
      <c r="L2" s="1"/>
    </row>
    <row r="3" spans="1:12">
      <c r="A3" s="1" t="s">
        <v>3311</v>
      </c>
      <c r="B3" s="1" t="s">
        <v>64</v>
      </c>
      <c r="C3" s="1" t="s">
        <v>3310</v>
      </c>
      <c r="D3" s="1">
        <v>1</v>
      </c>
      <c r="E3" s="1"/>
      <c r="F3" s="1" t="s">
        <v>20</v>
      </c>
      <c r="G3" s="1"/>
      <c r="H3" s="1"/>
      <c r="I3" s="1"/>
      <c r="J3" s="1" t="s">
        <v>65</v>
      </c>
      <c r="K3" s="1" t="s">
        <v>59</v>
      </c>
      <c r="L3" s="1"/>
    </row>
    <row r="4" spans="1:12">
      <c r="A4" s="1" t="s">
        <v>3312</v>
      </c>
      <c r="B4" s="1" t="s">
        <v>68</v>
      </c>
      <c r="C4" s="1" t="s">
        <v>3310</v>
      </c>
      <c r="D4" s="1">
        <v>1</v>
      </c>
      <c r="E4" s="1"/>
      <c r="F4" s="1" t="s">
        <v>20</v>
      </c>
      <c r="G4" s="1"/>
      <c r="H4" s="1"/>
      <c r="I4" s="1"/>
      <c r="J4" s="1" t="s">
        <v>69</v>
      </c>
      <c r="K4" s="1" t="s">
        <v>59</v>
      </c>
      <c r="L4" s="1"/>
    </row>
    <row r="5" spans="1:12" ht="102.6">
      <c r="A5" s="1" t="s">
        <v>3313</v>
      </c>
      <c r="B5" s="1" t="s">
        <v>71</v>
      </c>
      <c r="C5" s="1" t="s">
        <v>3314</v>
      </c>
      <c r="D5" s="1">
        <v>2</v>
      </c>
      <c r="E5" s="1"/>
      <c r="F5" s="1" t="s">
        <v>3315</v>
      </c>
      <c r="G5" s="1" t="s">
        <v>614</v>
      </c>
      <c r="H5" s="1" t="s">
        <v>2487</v>
      </c>
      <c r="I5" s="1"/>
      <c r="J5" s="1" t="s">
        <v>3316</v>
      </c>
      <c r="K5" s="1" t="s">
        <v>59</v>
      </c>
      <c r="L5" s="1" t="s">
        <v>3317</v>
      </c>
    </row>
    <row r="6" spans="1:12">
      <c r="A6" s="1" t="s">
        <v>3318</v>
      </c>
      <c r="B6" s="1" t="s">
        <v>76</v>
      </c>
      <c r="C6" s="1" t="s">
        <v>3310</v>
      </c>
      <c r="D6" s="1">
        <v>1</v>
      </c>
      <c r="E6" s="1"/>
      <c r="F6" s="1" t="s">
        <v>20</v>
      </c>
      <c r="G6" s="1"/>
      <c r="H6" s="1"/>
      <c r="I6" s="1"/>
      <c r="J6" s="1" t="s">
        <v>77</v>
      </c>
      <c r="K6" s="1" t="s">
        <v>59</v>
      </c>
      <c r="L6" s="1"/>
    </row>
    <row r="7" spans="1:12" ht="34.200000000000003">
      <c r="A7" s="1" t="s">
        <v>3319</v>
      </c>
      <c r="B7" s="1" t="s">
        <v>79</v>
      </c>
      <c r="C7" s="1" t="s">
        <v>3320</v>
      </c>
      <c r="D7" s="1">
        <v>3</v>
      </c>
      <c r="E7" s="1"/>
      <c r="F7" s="1" t="s">
        <v>20</v>
      </c>
      <c r="G7" s="1"/>
      <c r="H7" s="1"/>
      <c r="I7" s="1"/>
      <c r="J7" s="1" t="s">
        <v>3321</v>
      </c>
      <c r="K7" s="1" t="s">
        <v>59</v>
      </c>
      <c r="L7" s="1"/>
    </row>
    <row r="8" spans="1:12">
      <c r="A8" s="1" t="s">
        <v>3322</v>
      </c>
      <c r="B8" s="1" t="s">
        <v>88</v>
      </c>
      <c r="C8" s="1" t="s">
        <v>3310</v>
      </c>
      <c r="D8" s="1">
        <v>1</v>
      </c>
      <c r="E8" s="1"/>
      <c r="F8" s="1" t="s">
        <v>20</v>
      </c>
      <c r="G8" s="1"/>
      <c r="H8" s="1"/>
      <c r="I8" s="1"/>
      <c r="J8" s="1" t="s">
        <v>90</v>
      </c>
      <c r="K8" s="1" t="s">
        <v>59</v>
      </c>
      <c r="L8" s="1"/>
    </row>
    <row r="9" spans="1:12" ht="102.6">
      <c r="A9" s="1" t="s">
        <v>3323</v>
      </c>
      <c r="B9" s="1" t="s">
        <v>92</v>
      </c>
      <c r="C9" s="1" t="s">
        <v>3314</v>
      </c>
      <c r="D9" s="1">
        <v>2</v>
      </c>
      <c r="E9" s="1"/>
      <c r="F9" s="1" t="s">
        <v>3315</v>
      </c>
      <c r="G9" s="1" t="s">
        <v>403</v>
      </c>
      <c r="H9" s="1" t="s">
        <v>2522</v>
      </c>
      <c r="I9" s="1"/>
      <c r="J9" s="1" t="s">
        <v>3324</v>
      </c>
      <c r="K9" s="1" t="s">
        <v>59</v>
      </c>
      <c r="L9" s="1" t="s">
        <v>3317</v>
      </c>
    </row>
    <row r="10" spans="1:12">
      <c r="A10" s="1" t="s">
        <v>3325</v>
      </c>
      <c r="B10" s="1" t="s">
        <v>96</v>
      </c>
      <c r="C10" s="1" t="s">
        <v>3310</v>
      </c>
      <c r="D10" s="1">
        <v>1</v>
      </c>
      <c r="E10" s="1"/>
      <c r="F10" s="1" t="s">
        <v>20</v>
      </c>
      <c r="G10" s="1"/>
      <c r="H10" s="1"/>
      <c r="I10" s="1"/>
      <c r="J10" s="1" t="s">
        <v>98</v>
      </c>
      <c r="K10" s="1" t="s">
        <v>59</v>
      </c>
      <c r="L10" s="1"/>
    </row>
    <row r="11" spans="1:12">
      <c r="A11" s="1" t="s">
        <v>3326</v>
      </c>
      <c r="B11" s="1" t="s">
        <v>100</v>
      </c>
      <c r="C11" s="1" t="s">
        <v>3310</v>
      </c>
      <c r="D11" s="1">
        <v>1</v>
      </c>
      <c r="E11" s="1"/>
      <c r="F11" s="1" t="s">
        <v>20</v>
      </c>
      <c r="G11" s="1"/>
      <c r="H11" s="1"/>
      <c r="I11" s="1"/>
      <c r="J11" s="1" t="s">
        <v>102</v>
      </c>
      <c r="K11" s="1" t="s">
        <v>59</v>
      </c>
      <c r="L11" s="1"/>
    </row>
    <row r="12" spans="1:12">
      <c r="A12" s="1" t="s">
        <v>3327</v>
      </c>
      <c r="B12" s="1" t="s">
        <v>104</v>
      </c>
      <c r="C12" s="1" t="s">
        <v>3310</v>
      </c>
      <c r="D12" s="1">
        <v>1</v>
      </c>
      <c r="E12" s="1"/>
      <c r="F12" s="1" t="s">
        <v>20</v>
      </c>
      <c r="G12" s="1"/>
      <c r="H12" s="1"/>
      <c r="I12" s="1"/>
      <c r="J12" s="1" t="s">
        <v>106</v>
      </c>
      <c r="K12" s="1" t="s">
        <v>59</v>
      </c>
      <c r="L12" s="1"/>
    </row>
    <row r="13" spans="1:12">
      <c r="A13" s="1" t="s">
        <v>3328</v>
      </c>
      <c r="B13" s="1" t="s">
        <v>108</v>
      </c>
      <c r="C13" s="1" t="s">
        <v>3310</v>
      </c>
      <c r="D13" s="1">
        <v>1</v>
      </c>
      <c r="E13" s="1"/>
      <c r="F13" s="1" t="s">
        <v>20</v>
      </c>
      <c r="G13" s="1"/>
      <c r="H13" s="1"/>
      <c r="I13" s="1"/>
      <c r="J13" s="1" t="s">
        <v>109</v>
      </c>
      <c r="K13" s="1" t="s">
        <v>59</v>
      </c>
      <c r="L13" s="1"/>
    </row>
    <row r="14" spans="1:12">
      <c r="A14" s="1" t="s">
        <v>3329</v>
      </c>
      <c r="B14" s="1" t="s">
        <v>111</v>
      </c>
      <c r="C14" s="1" t="s">
        <v>3310</v>
      </c>
      <c r="D14" s="1">
        <v>1</v>
      </c>
      <c r="E14" s="1"/>
      <c r="F14" s="1" t="s">
        <v>20</v>
      </c>
      <c r="G14" s="1"/>
      <c r="H14" s="1"/>
      <c r="I14" s="1"/>
      <c r="J14" s="1" t="s">
        <v>112</v>
      </c>
      <c r="K14" s="1" t="s">
        <v>59</v>
      </c>
      <c r="L14" s="1"/>
    </row>
    <row r="15" spans="1:12">
      <c r="A15" s="1" t="s">
        <v>3330</v>
      </c>
      <c r="B15" s="1" t="s">
        <v>114</v>
      </c>
      <c r="C15" s="1" t="s">
        <v>3310</v>
      </c>
      <c r="D15" s="1">
        <v>1</v>
      </c>
      <c r="E15" s="1"/>
      <c r="F15" s="1" t="s">
        <v>20</v>
      </c>
      <c r="G15" s="1"/>
      <c r="H15" s="1"/>
      <c r="I15" s="1"/>
      <c r="J15" s="1" t="s">
        <v>115</v>
      </c>
      <c r="K15" s="1" t="s">
        <v>59</v>
      </c>
      <c r="L15" s="1"/>
    </row>
    <row r="16" spans="1:12">
      <c r="A16" s="1" t="s">
        <v>3331</v>
      </c>
      <c r="B16" s="1" t="s">
        <v>117</v>
      </c>
      <c r="C16" s="1" t="s">
        <v>3310</v>
      </c>
      <c r="D16" s="1">
        <v>1</v>
      </c>
      <c r="E16" s="1"/>
      <c r="F16" s="1" t="s">
        <v>20</v>
      </c>
      <c r="G16" s="1"/>
      <c r="H16" s="1"/>
      <c r="I16" s="1"/>
      <c r="J16" s="1" t="s">
        <v>118</v>
      </c>
      <c r="K16" s="1" t="s">
        <v>59</v>
      </c>
      <c r="L16" s="1"/>
    </row>
    <row r="17" spans="1:12">
      <c r="A17" s="1" t="s">
        <v>3332</v>
      </c>
      <c r="B17" s="1" t="s">
        <v>120</v>
      </c>
      <c r="C17" s="1" t="s">
        <v>3310</v>
      </c>
      <c r="D17" s="1">
        <v>1</v>
      </c>
      <c r="E17" s="1"/>
      <c r="F17" s="1" t="s">
        <v>20</v>
      </c>
      <c r="G17" s="1"/>
      <c r="H17" s="1"/>
      <c r="I17" s="1"/>
      <c r="J17" s="1" t="s">
        <v>121</v>
      </c>
      <c r="K17" s="1" t="s">
        <v>59</v>
      </c>
      <c r="L17" s="1"/>
    </row>
    <row r="18" spans="1:12">
      <c r="A18" s="1" t="s">
        <v>3333</v>
      </c>
      <c r="B18" s="1" t="s">
        <v>123</v>
      </c>
      <c r="C18" s="1" t="s">
        <v>3310</v>
      </c>
      <c r="D18" s="1">
        <v>1</v>
      </c>
      <c r="E18" s="1"/>
      <c r="F18" s="1" t="s">
        <v>20</v>
      </c>
      <c r="G18" s="1"/>
      <c r="H18" s="1"/>
      <c r="I18" s="1"/>
      <c r="J18" s="1" t="s">
        <v>124</v>
      </c>
      <c r="K18" s="1" t="s">
        <v>59</v>
      </c>
      <c r="L18" s="1"/>
    </row>
    <row r="19" spans="1:12">
      <c r="A19" s="1" t="s">
        <v>3334</v>
      </c>
      <c r="B19" s="1" t="s">
        <v>126</v>
      </c>
      <c r="C19" s="1" t="s">
        <v>3310</v>
      </c>
      <c r="D19" s="1">
        <v>1</v>
      </c>
      <c r="E19" s="1"/>
      <c r="F19" s="1" t="s">
        <v>20</v>
      </c>
      <c r="G19" s="1"/>
      <c r="H19" s="1"/>
      <c r="I19" s="1"/>
      <c r="J19" s="1" t="s">
        <v>127</v>
      </c>
      <c r="K19" s="1" t="s">
        <v>59</v>
      </c>
      <c r="L19" s="1"/>
    </row>
    <row r="20" spans="1:12" ht="22.8">
      <c r="A20" s="1" t="s">
        <v>3335</v>
      </c>
      <c r="B20" s="1" t="s">
        <v>129</v>
      </c>
      <c r="C20" s="1" t="s">
        <v>3314</v>
      </c>
      <c r="D20" s="1">
        <v>2</v>
      </c>
      <c r="E20" s="1">
        <v>1</v>
      </c>
      <c r="F20" s="1" t="s">
        <v>3336</v>
      </c>
      <c r="G20" s="1"/>
      <c r="H20" s="1" t="s">
        <v>1626</v>
      </c>
      <c r="I20" s="1"/>
      <c r="J20" s="1" t="s">
        <v>3337</v>
      </c>
      <c r="K20" s="1" t="s">
        <v>59</v>
      </c>
      <c r="L20" s="1" t="s">
        <v>3317</v>
      </c>
    </row>
    <row r="21" spans="1:12">
      <c r="A21" s="1" t="s">
        <v>3338</v>
      </c>
      <c r="B21" s="1" t="s">
        <v>134</v>
      </c>
      <c r="C21" s="1" t="s">
        <v>3310</v>
      </c>
      <c r="D21" s="1">
        <v>1</v>
      </c>
      <c r="E21" s="1"/>
      <c r="F21" s="1" t="s">
        <v>20</v>
      </c>
      <c r="G21" s="1"/>
      <c r="H21" s="1"/>
      <c r="I21" s="1"/>
      <c r="J21" s="1" t="s">
        <v>136</v>
      </c>
      <c r="K21" s="1" t="s">
        <v>59</v>
      </c>
      <c r="L21" s="1"/>
    </row>
    <row r="22" spans="1:12">
      <c r="A22" s="1" t="s">
        <v>3339</v>
      </c>
      <c r="B22" s="1" t="s">
        <v>138</v>
      </c>
      <c r="C22" s="1" t="s">
        <v>3310</v>
      </c>
      <c r="D22" s="1">
        <v>1</v>
      </c>
      <c r="E22" s="1"/>
      <c r="F22" s="1" t="s">
        <v>20</v>
      </c>
      <c r="G22" s="1"/>
      <c r="H22" s="1"/>
      <c r="I22" s="1"/>
      <c r="J22" s="1" t="s">
        <v>140</v>
      </c>
      <c r="K22" s="1" t="s">
        <v>59</v>
      </c>
      <c r="L22" s="1"/>
    </row>
    <row r="23" spans="1:12">
      <c r="A23" s="1" t="s">
        <v>3340</v>
      </c>
      <c r="B23" s="1" t="s">
        <v>142</v>
      </c>
      <c r="C23" s="1" t="s">
        <v>3310</v>
      </c>
      <c r="D23" s="1">
        <v>1</v>
      </c>
      <c r="E23" s="1"/>
      <c r="F23" s="1" t="s">
        <v>20</v>
      </c>
      <c r="G23" s="1"/>
      <c r="H23" s="1"/>
      <c r="I23" s="1"/>
      <c r="J23" s="1" t="s">
        <v>144</v>
      </c>
      <c r="K23" s="1" t="s">
        <v>59</v>
      </c>
      <c r="L23" s="1"/>
    </row>
    <row r="24" spans="1:12">
      <c r="A24" s="1" t="s">
        <v>3341</v>
      </c>
      <c r="B24" s="1" t="s">
        <v>146</v>
      </c>
      <c r="C24" s="1" t="s">
        <v>3310</v>
      </c>
      <c r="D24" s="1">
        <v>1</v>
      </c>
      <c r="E24" s="1"/>
      <c r="F24" s="1" t="s">
        <v>20</v>
      </c>
      <c r="G24" s="1"/>
      <c r="H24" s="1"/>
      <c r="I24" s="1"/>
      <c r="J24" s="1" t="s">
        <v>147</v>
      </c>
      <c r="K24" s="1" t="s">
        <v>59</v>
      </c>
      <c r="L24" s="1"/>
    </row>
    <row r="25" spans="1:12">
      <c r="A25" s="1" t="s">
        <v>3342</v>
      </c>
      <c r="B25" s="1" t="s">
        <v>149</v>
      </c>
      <c r="C25" s="1" t="s">
        <v>3310</v>
      </c>
      <c r="D25" s="1">
        <v>1</v>
      </c>
      <c r="E25" s="1"/>
      <c r="F25" s="1" t="s">
        <v>20</v>
      </c>
      <c r="G25" s="1"/>
      <c r="H25" s="1"/>
      <c r="I25" s="1"/>
      <c r="J25" s="1" t="s">
        <v>151</v>
      </c>
      <c r="K25" s="1" t="s">
        <v>59</v>
      </c>
      <c r="L25" s="1"/>
    </row>
    <row r="26" spans="1:12">
      <c r="A26" s="1" t="s">
        <v>3343</v>
      </c>
      <c r="B26" s="1" t="s">
        <v>153</v>
      </c>
      <c r="C26" s="1" t="s">
        <v>3310</v>
      </c>
      <c r="D26" s="1">
        <v>1</v>
      </c>
      <c r="E26" s="1"/>
      <c r="F26" s="1" t="s">
        <v>20</v>
      </c>
      <c r="G26" s="1"/>
      <c r="H26" s="1"/>
      <c r="I26" s="1"/>
      <c r="J26" s="1" t="s">
        <v>154</v>
      </c>
      <c r="K26" s="1" t="s">
        <v>59</v>
      </c>
      <c r="L26" s="1"/>
    </row>
    <row r="27" spans="1:12">
      <c r="A27" s="1" t="s">
        <v>3344</v>
      </c>
      <c r="B27" s="1" t="s">
        <v>156</v>
      </c>
      <c r="C27" s="1" t="s">
        <v>3310</v>
      </c>
      <c r="D27" s="1">
        <v>1</v>
      </c>
      <c r="E27" s="1"/>
      <c r="F27" s="1" t="s">
        <v>20</v>
      </c>
      <c r="G27" s="1"/>
      <c r="H27" s="1"/>
      <c r="I27" s="1"/>
      <c r="J27" s="1" t="s">
        <v>158</v>
      </c>
      <c r="K27" s="1" t="s">
        <v>59</v>
      </c>
      <c r="L27" s="1"/>
    </row>
    <row r="28" spans="1:12">
      <c r="A28" s="1" t="s">
        <v>3345</v>
      </c>
      <c r="B28" s="1" t="s">
        <v>160</v>
      </c>
      <c r="C28" s="1" t="s">
        <v>3310</v>
      </c>
      <c r="D28" s="1">
        <v>1</v>
      </c>
      <c r="E28" s="1"/>
      <c r="F28" s="1" t="s">
        <v>20</v>
      </c>
      <c r="G28" s="1"/>
      <c r="H28" s="1"/>
      <c r="I28" s="1"/>
      <c r="J28" s="1" t="s">
        <v>161</v>
      </c>
      <c r="K28" s="1" t="s">
        <v>59</v>
      </c>
      <c r="L28" s="1"/>
    </row>
    <row r="29" spans="1:12">
      <c r="A29" s="1" t="s">
        <v>3346</v>
      </c>
      <c r="B29" s="1" t="s">
        <v>163</v>
      </c>
      <c r="C29" s="1" t="s">
        <v>3320</v>
      </c>
      <c r="D29" s="1">
        <v>1</v>
      </c>
      <c r="E29" s="1"/>
      <c r="F29" s="1" t="s">
        <v>20</v>
      </c>
      <c r="G29" s="1"/>
      <c r="H29" s="1"/>
      <c r="I29" s="1"/>
      <c r="J29" s="1" t="s">
        <v>164</v>
      </c>
      <c r="K29" s="1" t="s">
        <v>59</v>
      </c>
      <c r="L29" s="1"/>
    </row>
    <row r="30" spans="1:12">
      <c r="A30" s="1" t="s">
        <v>3347</v>
      </c>
      <c r="B30" s="1" t="s">
        <v>166</v>
      </c>
      <c r="C30" s="1" t="s">
        <v>3320</v>
      </c>
      <c r="D30" s="1">
        <v>1</v>
      </c>
      <c r="E30" s="1"/>
      <c r="F30" s="1" t="s">
        <v>20</v>
      </c>
      <c r="G30" s="1"/>
      <c r="H30" s="1"/>
      <c r="I30" s="1"/>
      <c r="J30" s="1" t="s">
        <v>167</v>
      </c>
      <c r="K30" s="1" t="s">
        <v>59</v>
      </c>
      <c r="L30" s="1"/>
    </row>
    <row r="31" spans="1:12">
      <c r="A31" s="1" t="s">
        <v>3348</v>
      </c>
      <c r="B31" s="1" t="s">
        <v>169</v>
      </c>
      <c r="C31" s="1" t="s">
        <v>3310</v>
      </c>
      <c r="D31" s="1">
        <v>1</v>
      </c>
      <c r="E31" s="1"/>
      <c r="F31" s="1" t="s">
        <v>20</v>
      </c>
      <c r="G31" s="1"/>
      <c r="H31" s="1"/>
      <c r="I31" s="1"/>
      <c r="J31" s="1" t="s">
        <v>170</v>
      </c>
      <c r="K31" s="1" t="s">
        <v>59</v>
      </c>
      <c r="L31" s="1"/>
    </row>
    <row r="32" spans="1:12">
      <c r="A32" s="1" t="s">
        <v>3349</v>
      </c>
      <c r="B32" s="1" t="s">
        <v>172</v>
      </c>
      <c r="C32" s="1" t="s">
        <v>3310</v>
      </c>
      <c r="D32" s="1">
        <v>1</v>
      </c>
      <c r="E32" s="1"/>
      <c r="F32" s="1" t="s">
        <v>20</v>
      </c>
      <c r="G32" s="1"/>
      <c r="H32" s="1"/>
      <c r="I32" s="1"/>
      <c r="J32" s="1" t="s">
        <v>173</v>
      </c>
      <c r="K32" s="1" t="s">
        <v>59</v>
      </c>
      <c r="L32" s="1"/>
    </row>
    <row r="33" spans="1:12" ht="34.200000000000003">
      <c r="A33" s="1" t="s">
        <v>3350</v>
      </c>
      <c r="B33" s="1" t="s">
        <v>175</v>
      </c>
      <c r="C33" s="1" t="s">
        <v>3320</v>
      </c>
      <c r="D33" s="1">
        <v>3</v>
      </c>
      <c r="E33" s="1"/>
      <c r="F33" s="1" t="s">
        <v>3351</v>
      </c>
      <c r="G33" s="1"/>
      <c r="H33" s="1"/>
      <c r="I33" s="1"/>
      <c r="J33" s="1" t="s">
        <v>3352</v>
      </c>
      <c r="K33" s="1" t="s">
        <v>59</v>
      </c>
      <c r="L33" s="1"/>
    </row>
    <row r="34" spans="1:12">
      <c r="A34" s="1" t="s">
        <v>3353</v>
      </c>
      <c r="B34" s="1" t="s">
        <v>179</v>
      </c>
      <c r="C34" s="1" t="s">
        <v>3310</v>
      </c>
      <c r="D34" s="1">
        <v>1</v>
      </c>
      <c r="E34" s="1"/>
      <c r="F34" s="1" t="s">
        <v>20</v>
      </c>
      <c r="G34" s="1"/>
      <c r="H34" s="1"/>
      <c r="I34" s="1"/>
      <c r="J34" s="1" t="s">
        <v>181</v>
      </c>
      <c r="K34" s="1" t="s">
        <v>59</v>
      </c>
      <c r="L34" s="1"/>
    </row>
    <row r="35" spans="1:12">
      <c r="A35" s="1" t="s">
        <v>3354</v>
      </c>
      <c r="B35" s="1" t="s">
        <v>183</v>
      </c>
      <c r="C35" s="1" t="s">
        <v>3310</v>
      </c>
      <c r="D35" s="1">
        <v>1</v>
      </c>
      <c r="E35" s="1"/>
      <c r="F35" s="1" t="s">
        <v>20</v>
      </c>
      <c r="G35" s="1"/>
      <c r="H35" s="1"/>
      <c r="I35" s="1"/>
      <c r="J35" s="1" t="s">
        <v>184</v>
      </c>
      <c r="K35" s="1" t="s">
        <v>59</v>
      </c>
      <c r="L35" s="1"/>
    </row>
    <row r="36" spans="1:12">
      <c r="A36" s="1" t="s">
        <v>3355</v>
      </c>
      <c r="B36" s="1" t="s">
        <v>186</v>
      </c>
      <c r="C36" s="1" t="s">
        <v>3310</v>
      </c>
      <c r="D36" s="1">
        <v>1</v>
      </c>
      <c r="E36" s="1"/>
      <c r="F36" s="1" t="s">
        <v>20</v>
      </c>
      <c r="G36" s="1"/>
      <c r="H36" s="1"/>
      <c r="I36" s="1"/>
      <c r="J36" s="1" t="s">
        <v>188</v>
      </c>
      <c r="K36" s="1" t="s">
        <v>59</v>
      </c>
      <c r="L36" s="1"/>
    </row>
    <row r="37" spans="1:12">
      <c r="A37" s="1" t="s">
        <v>3356</v>
      </c>
      <c r="B37" s="1" t="s">
        <v>190</v>
      </c>
      <c r="C37" s="1" t="s">
        <v>3310</v>
      </c>
      <c r="D37" s="1">
        <v>1</v>
      </c>
      <c r="E37" s="1"/>
      <c r="F37" s="1" t="s">
        <v>20</v>
      </c>
      <c r="G37" s="1"/>
      <c r="H37" s="1"/>
      <c r="I37" s="1"/>
      <c r="J37" s="1" t="s">
        <v>191</v>
      </c>
      <c r="K37" s="1" t="s">
        <v>59</v>
      </c>
      <c r="L37" s="1"/>
    </row>
    <row r="38" spans="1:12" ht="22.8">
      <c r="A38" s="1" t="s">
        <v>3357</v>
      </c>
      <c r="B38" s="1" t="s">
        <v>193</v>
      </c>
      <c r="C38" s="1" t="s">
        <v>3320</v>
      </c>
      <c r="D38" s="1">
        <v>2</v>
      </c>
      <c r="E38" s="1"/>
      <c r="F38" s="1" t="s">
        <v>20</v>
      </c>
      <c r="G38" s="1"/>
      <c r="H38" s="1"/>
      <c r="I38" s="1"/>
      <c r="J38" s="1" t="s">
        <v>3358</v>
      </c>
      <c r="K38" s="1" t="s">
        <v>59</v>
      </c>
      <c r="L38" s="1"/>
    </row>
    <row r="39" spans="1:12">
      <c r="A39" s="1" t="s">
        <v>3359</v>
      </c>
      <c r="B39" s="1" t="s">
        <v>198</v>
      </c>
      <c r="C39" s="1" t="s">
        <v>3310</v>
      </c>
      <c r="D39" s="1">
        <v>1</v>
      </c>
      <c r="E39" s="1"/>
      <c r="F39" s="1" t="s">
        <v>20</v>
      </c>
      <c r="G39" s="1"/>
      <c r="H39" s="1"/>
      <c r="I39" s="1"/>
      <c r="J39" s="1" t="s">
        <v>199</v>
      </c>
      <c r="K39" s="1" t="s">
        <v>59</v>
      </c>
      <c r="L39" s="1"/>
    </row>
    <row r="40" spans="1:12">
      <c r="A40" s="1" t="s">
        <v>3360</v>
      </c>
      <c r="B40" s="1" t="s">
        <v>201</v>
      </c>
      <c r="C40" s="1" t="s">
        <v>3310</v>
      </c>
      <c r="D40" s="1">
        <v>1</v>
      </c>
      <c r="E40" s="1"/>
      <c r="F40" s="1" t="s">
        <v>20</v>
      </c>
      <c r="G40" s="1"/>
      <c r="H40" s="1"/>
      <c r="I40" s="1"/>
      <c r="J40" s="1" t="s">
        <v>203</v>
      </c>
      <c r="K40" s="1" t="s">
        <v>59</v>
      </c>
      <c r="L40" s="1"/>
    </row>
    <row r="41" spans="1:12" ht="114">
      <c r="A41" s="1" t="s">
        <v>3361</v>
      </c>
      <c r="B41" s="1" t="s">
        <v>205</v>
      </c>
      <c r="C41" s="1" t="s">
        <v>3320</v>
      </c>
      <c r="D41" s="1">
        <v>3</v>
      </c>
      <c r="E41" s="1"/>
      <c r="F41" s="1" t="s">
        <v>3362</v>
      </c>
      <c r="G41" s="1" t="s">
        <v>403</v>
      </c>
      <c r="H41" s="1" t="s">
        <v>615</v>
      </c>
      <c r="I41" s="1"/>
      <c r="J41" s="1" t="s">
        <v>3363</v>
      </c>
      <c r="K41" s="1" t="s">
        <v>59</v>
      </c>
      <c r="L41" s="1"/>
    </row>
    <row r="42" spans="1:12">
      <c r="A42" s="1" t="s">
        <v>3364</v>
      </c>
      <c r="B42" s="1" t="s">
        <v>210</v>
      </c>
      <c r="C42" s="1" t="s">
        <v>3310</v>
      </c>
      <c r="D42" s="1">
        <v>1</v>
      </c>
      <c r="E42" s="1"/>
      <c r="F42" s="1" t="s">
        <v>20</v>
      </c>
      <c r="G42" s="1"/>
      <c r="H42" s="1"/>
      <c r="I42" s="1"/>
      <c r="J42" s="1" t="s">
        <v>211</v>
      </c>
      <c r="K42" s="1" t="s">
        <v>59</v>
      </c>
      <c r="L42" s="1"/>
    </row>
    <row r="43" spans="1:12" ht="307.8">
      <c r="A43" s="1" t="s">
        <v>3365</v>
      </c>
      <c r="B43" s="1" t="s">
        <v>213</v>
      </c>
      <c r="C43" s="1" t="s">
        <v>3320</v>
      </c>
      <c r="D43" s="1">
        <v>5</v>
      </c>
      <c r="E43" s="1"/>
      <c r="F43" s="1" t="s">
        <v>3366</v>
      </c>
      <c r="G43" s="1" t="s">
        <v>3367</v>
      </c>
      <c r="H43" s="1" t="s">
        <v>3368</v>
      </c>
      <c r="I43" s="1"/>
      <c r="J43" s="1" t="s">
        <v>3369</v>
      </c>
      <c r="K43" s="1" t="s">
        <v>59</v>
      </c>
      <c r="L43" s="1"/>
    </row>
    <row r="44" spans="1:12">
      <c r="A44" s="1" t="s">
        <v>3370</v>
      </c>
      <c r="B44" s="1" t="s">
        <v>219</v>
      </c>
      <c r="C44" s="1" t="s">
        <v>3310</v>
      </c>
      <c r="D44" s="1">
        <v>1</v>
      </c>
      <c r="E44" s="1"/>
      <c r="F44" s="1" t="s">
        <v>20</v>
      </c>
      <c r="G44" s="1"/>
      <c r="H44" s="1"/>
      <c r="I44" s="1"/>
      <c r="J44" s="1" t="s">
        <v>220</v>
      </c>
      <c r="K44" s="1" t="s">
        <v>59</v>
      </c>
      <c r="L44" s="1"/>
    </row>
    <row r="45" spans="1:12">
      <c r="A45" s="1" t="s">
        <v>3371</v>
      </c>
      <c r="B45" s="1" t="s">
        <v>222</v>
      </c>
      <c r="C45" s="1" t="s">
        <v>3310</v>
      </c>
      <c r="D45" s="1">
        <v>1</v>
      </c>
      <c r="E45" s="1"/>
      <c r="F45" s="1" t="s">
        <v>20</v>
      </c>
      <c r="G45" s="1"/>
      <c r="H45" s="1"/>
      <c r="I45" s="1"/>
      <c r="J45" s="1" t="s">
        <v>223</v>
      </c>
      <c r="K45" s="1" t="s">
        <v>59</v>
      </c>
      <c r="L45" s="1"/>
    </row>
    <row r="46" spans="1:12">
      <c r="A46" s="1" t="s">
        <v>3372</v>
      </c>
      <c r="B46" s="1" t="s">
        <v>225</v>
      </c>
      <c r="C46" s="1" t="s">
        <v>3310</v>
      </c>
      <c r="D46" s="1">
        <v>1</v>
      </c>
      <c r="E46" s="1"/>
      <c r="F46" s="1" t="s">
        <v>20</v>
      </c>
      <c r="G46" s="1"/>
      <c r="H46" s="1"/>
      <c r="I46" s="1"/>
      <c r="J46" s="1" t="s">
        <v>227</v>
      </c>
      <c r="K46" s="1" t="s">
        <v>59</v>
      </c>
      <c r="L46" s="1"/>
    </row>
    <row r="47" spans="1:12">
      <c r="A47" s="1" t="s">
        <v>3373</v>
      </c>
      <c r="B47" s="1" t="s">
        <v>229</v>
      </c>
      <c r="C47" s="1" t="s">
        <v>3310</v>
      </c>
      <c r="D47" s="1">
        <v>1</v>
      </c>
      <c r="E47" s="1"/>
      <c r="F47" s="1" t="s">
        <v>20</v>
      </c>
      <c r="G47" s="1"/>
      <c r="H47" s="1"/>
      <c r="I47" s="1"/>
      <c r="J47" s="1" t="s">
        <v>230</v>
      </c>
      <c r="K47" s="1" t="s">
        <v>59</v>
      </c>
      <c r="L47" s="1"/>
    </row>
    <row r="48" spans="1:12" ht="114">
      <c r="A48" s="1" t="s">
        <v>3374</v>
      </c>
      <c r="B48" s="1" t="s">
        <v>232</v>
      </c>
      <c r="C48" s="1" t="s">
        <v>3320</v>
      </c>
      <c r="D48" s="1">
        <v>3</v>
      </c>
      <c r="E48" s="1"/>
      <c r="F48" s="1" t="s">
        <v>3362</v>
      </c>
      <c r="G48" s="1" t="s">
        <v>614</v>
      </c>
      <c r="H48" s="1" t="s">
        <v>615</v>
      </c>
      <c r="I48" s="1"/>
      <c r="J48" s="1" t="s">
        <v>3375</v>
      </c>
      <c r="K48" s="1" t="s">
        <v>59</v>
      </c>
      <c r="L48" s="1"/>
    </row>
    <row r="49" spans="1:12">
      <c r="A49" s="1" t="s">
        <v>3376</v>
      </c>
      <c r="B49" s="1" t="s">
        <v>239</v>
      </c>
      <c r="C49" s="1" t="s">
        <v>3310</v>
      </c>
      <c r="D49" s="1">
        <v>1</v>
      </c>
      <c r="E49" s="1"/>
      <c r="F49" s="1" t="s">
        <v>20</v>
      </c>
      <c r="G49" s="1"/>
      <c r="H49" s="1"/>
      <c r="I49" s="1"/>
      <c r="J49" s="1" t="s">
        <v>241</v>
      </c>
      <c r="K49" s="1" t="s">
        <v>59</v>
      </c>
      <c r="L49" s="1"/>
    </row>
    <row r="50" spans="1:12" ht="34.200000000000003">
      <c r="A50" s="1" t="s">
        <v>3377</v>
      </c>
      <c r="B50" s="1" t="s">
        <v>243</v>
      </c>
      <c r="C50" s="1" t="s">
        <v>3320</v>
      </c>
      <c r="D50" s="1">
        <v>3</v>
      </c>
      <c r="E50" s="1"/>
      <c r="F50" s="1" t="s">
        <v>3336</v>
      </c>
      <c r="G50" s="1"/>
      <c r="H50" s="1"/>
      <c r="I50" s="1"/>
      <c r="J50" s="1" t="s">
        <v>3378</v>
      </c>
      <c r="K50" s="1" t="s">
        <v>59</v>
      </c>
      <c r="L50" s="1"/>
    </row>
    <row r="51" spans="1:12" ht="228">
      <c r="A51" s="1" t="s">
        <v>3379</v>
      </c>
      <c r="B51" s="1" t="s">
        <v>249</v>
      </c>
      <c r="C51" s="1" t="s">
        <v>3320</v>
      </c>
      <c r="D51" s="1">
        <v>4</v>
      </c>
      <c r="E51" s="1"/>
      <c r="F51" s="1" t="s">
        <v>3366</v>
      </c>
      <c r="G51" s="1" t="s">
        <v>3380</v>
      </c>
      <c r="H51" s="1" t="s">
        <v>3381</v>
      </c>
      <c r="I51" s="1"/>
      <c r="J51" s="1" t="s">
        <v>3382</v>
      </c>
      <c r="K51" s="1" t="s">
        <v>59</v>
      </c>
      <c r="L51" s="1"/>
    </row>
    <row r="52" spans="1:12">
      <c r="A52" s="1" t="s">
        <v>3383</v>
      </c>
      <c r="B52" s="1" t="s">
        <v>259</v>
      </c>
      <c r="C52" s="1" t="s">
        <v>3310</v>
      </c>
      <c r="D52" s="1">
        <v>1</v>
      </c>
      <c r="E52" s="1"/>
      <c r="F52" s="1" t="s">
        <v>20</v>
      </c>
      <c r="G52" s="1"/>
      <c r="H52" s="1"/>
      <c r="I52" s="1"/>
      <c r="J52" s="1" t="s">
        <v>260</v>
      </c>
      <c r="K52" s="1" t="s">
        <v>59</v>
      </c>
      <c r="L52" s="1"/>
    </row>
    <row r="53" spans="1:12">
      <c r="A53" s="1" t="s">
        <v>3384</v>
      </c>
      <c r="B53" s="1" t="s">
        <v>262</v>
      </c>
      <c r="C53" s="1" t="s">
        <v>3310</v>
      </c>
      <c r="D53" s="1">
        <v>1</v>
      </c>
      <c r="E53" s="1"/>
      <c r="F53" s="1" t="s">
        <v>20</v>
      </c>
      <c r="G53" s="1"/>
      <c r="H53" s="1"/>
      <c r="I53" s="1"/>
      <c r="J53" s="1" t="s">
        <v>264</v>
      </c>
      <c r="K53" s="1" t="s">
        <v>59</v>
      </c>
      <c r="L53" s="1"/>
    </row>
    <row r="54" spans="1:12">
      <c r="A54" s="1" t="s">
        <v>3385</v>
      </c>
      <c r="B54" s="1" t="s">
        <v>266</v>
      </c>
      <c r="C54" s="1" t="s">
        <v>3310</v>
      </c>
      <c r="D54" s="1">
        <v>1</v>
      </c>
      <c r="E54" s="1"/>
      <c r="F54" s="1" t="s">
        <v>20</v>
      </c>
      <c r="G54" s="1"/>
      <c r="H54" s="1"/>
      <c r="I54" s="1"/>
      <c r="J54" s="1" t="s">
        <v>267</v>
      </c>
      <c r="K54" s="1" t="s">
        <v>59</v>
      </c>
      <c r="L54" s="1"/>
    </row>
    <row r="55" spans="1:12">
      <c r="A55" s="1" t="s">
        <v>3386</v>
      </c>
      <c r="B55" s="1" t="s">
        <v>269</v>
      </c>
      <c r="C55" s="1" t="s">
        <v>3310</v>
      </c>
      <c r="D55" s="1">
        <v>1</v>
      </c>
      <c r="E55" s="1"/>
      <c r="F55" s="1" t="s">
        <v>20</v>
      </c>
      <c r="G55" s="1"/>
      <c r="H55" s="1"/>
      <c r="I55" s="1"/>
      <c r="J55" s="1" t="s">
        <v>271</v>
      </c>
      <c r="K55" s="1" t="s">
        <v>59</v>
      </c>
      <c r="L55" s="1"/>
    </row>
    <row r="56" spans="1:12">
      <c r="A56" s="1" t="s">
        <v>3387</v>
      </c>
      <c r="B56" s="1" t="s">
        <v>273</v>
      </c>
      <c r="C56" s="1" t="s">
        <v>3310</v>
      </c>
      <c r="D56" s="1">
        <v>1</v>
      </c>
      <c r="E56" s="1"/>
      <c r="F56" s="1" t="s">
        <v>20</v>
      </c>
      <c r="G56" s="1"/>
      <c r="H56" s="1"/>
      <c r="I56" s="1"/>
      <c r="J56" s="1" t="s">
        <v>274</v>
      </c>
      <c r="K56" s="1" t="s">
        <v>59</v>
      </c>
      <c r="L56" s="1"/>
    </row>
    <row r="57" spans="1:12">
      <c r="A57" s="1" t="s">
        <v>3388</v>
      </c>
      <c r="B57" s="1" t="s">
        <v>276</v>
      </c>
      <c r="C57" s="1" t="s">
        <v>3310</v>
      </c>
      <c r="D57" s="1">
        <v>1</v>
      </c>
      <c r="E57" s="1"/>
      <c r="F57" s="1" t="s">
        <v>20</v>
      </c>
      <c r="G57" s="1"/>
      <c r="H57" s="1"/>
      <c r="I57" s="1"/>
      <c r="J57" s="1" t="s">
        <v>278</v>
      </c>
      <c r="K57" s="1" t="s">
        <v>59</v>
      </c>
      <c r="L57" s="1"/>
    </row>
    <row r="58" spans="1:12">
      <c r="A58" s="1" t="s">
        <v>3389</v>
      </c>
      <c r="B58" s="1" t="s">
        <v>280</v>
      </c>
      <c r="C58" s="1" t="s">
        <v>3310</v>
      </c>
      <c r="D58" s="1">
        <v>1</v>
      </c>
      <c r="E58" s="1"/>
      <c r="F58" s="1" t="s">
        <v>20</v>
      </c>
      <c r="G58" s="1"/>
      <c r="H58" s="1"/>
      <c r="I58" s="1"/>
      <c r="J58" s="1" t="s">
        <v>282</v>
      </c>
      <c r="K58" s="1" t="s">
        <v>59</v>
      </c>
      <c r="L58" s="1"/>
    </row>
    <row r="59" spans="1:12">
      <c r="A59" s="1" t="s">
        <v>3390</v>
      </c>
      <c r="B59" s="1" t="s">
        <v>284</v>
      </c>
      <c r="C59" s="1" t="s">
        <v>3310</v>
      </c>
      <c r="D59" s="1">
        <v>1</v>
      </c>
      <c r="E59" s="1"/>
      <c r="F59" s="1" t="s">
        <v>20</v>
      </c>
      <c r="G59" s="1"/>
      <c r="H59" s="1"/>
      <c r="I59" s="1"/>
      <c r="J59" s="1" t="s">
        <v>285</v>
      </c>
      <c r="K59" s="1" t="s">
        <v>59</v>
      </c>
      <c r="L59" s="1"/>
    </row>
    <row r="60" spans="1:12">
      <c r="A60" s="1" t="s">
        <v>3391</v>
      </c>
      <c r="B60" s="1" t="s">
        <v>287</v>
      </c>
      <c r="C60" s="1" t="s">
        <v>3310</v>
      </c>
      <c r="D60" s="1">
        <v>1</v>
      </c>
      <c r="E60" s="1"/>
      <c r="F60" s="1" t="s">
        <v>20</v>
      </c>
      <c r="G60" s="1"/>
      <c r="H60" s="1"/>
      <c r="I60" s="1"/>
      <c r="J60" s="1" t="s">
        <v>289</v>
      </c>
      <c r="K60" s="1" t="s">
        <v>59</v>
      </c>
      <c r="L60" s="1"/>
    </row>
    <row r="61" spans="1:12">
      <c r="A61" s="1" t="s">
        <v>3392</v>
      </c>
      <c r="B61" s="1" t="s">
        <v>291</v>
      </c>
      <c r="C61" s="1" t="s">
        <v>3310</v>
      </c>
      <c r="D61" s="1">
        <v>1</v>
      </c>
      <c r="E61" s="1"/>
      <c r="F61" s="1" t="s">
        <v>20</v>
      </c>
      <c r="G61" s="1"/>
      <c r="H61" s="1"/>
      <c r="I61" s="1"/>
      <c r="J61" s="1" t="s">
        <v>293</v>
      </c>
      <c r="K61" s="1" t="s">
        <v>59</v>
      </c>
      <c r="L61" s="1"/>
    </row>
    <row r="62" spans="1:12">
      <c r="A62" s="1" t="s">
        <v>3393</v>
      </c>
      <c r="B62" s="1" t="s">
        <v>295</v>
      </c>
      <c r="C62" s="1" t="s">
        <v>3310</v>
      </c>
      <c r="D62" s="1">
        <v>1</v>
      </c>
      <c r="E62" s="1"/>
      <c r="F62" s="1" t="s">
        <v>20</v>
      </c>
      <c r="G62" s="1"/>
      <c r="H62" s="1"/>
      <c r="I62" s="1"/>
      <c r="J62" s="1" t="s">
        <v>297</v>
      </c>
      <c r="K62" s="1" t="s">
        <v>59</v>
      </c>
      <c r="L62" s="1"/>
    </row>
    <row r="63" spans="1:12">
      <c r="A63" s="1" t="s">
        <v>3394</v>
      </c>
      <c r="B63" s="1" t="s">
        <v>299</v>
      </c>
      <c r="C63" s="1" t="s">
        <v>3310</v>
      </c>
      <c r="D63" s="1">
        <v>1</v>
      </c>
      <c r="E63" s="1"/>
      <c r="F63" s="1" t="s">
        <v>20</v>
      </c>
      <c r="G63" s="1"/>
      <c r="H63" s="1"/>
      <c r="I63" s="1"/>
      <c r="J63" s="1" t="s">
        <v>300</v>
      </c>
      <c r="K63" s="1" t="s">
        <v>59</v>
      </c>
      <c r="L63" s="1"/>
    </row>
    <row r="64" spans="1:12" ht="22.8">
      <c r="A64" s="1" t="s">
        <v>3395</v>
      </c>
      <c r="B64" s="1" t="s">
        <v>302</v>
      </c>
      <c r="C64" s="1" t="s">
        <v>3320</v>
      </c>
      <c r="D64" s="1">
        <v>2</v>
      </c>
      <c r="E64" s="1"/>
      <c r="F64" s="1" t="s">
        <v>20</v>
      </c>
      <c r="G64" s="1"/>
      <c r="H64" s="1"/>
      <c r="I64" s="1"/>
      <c r="J64" s="1" t="s">
        <v>3396</v>
      </c>
      <c r="K64" s="1" t="s">
        <v>59</v>
      </c>
      <c r="L64" s="1"/>
    </row>
    <row r="65" spans="1:12" ht="22.8">
      <c r="A65" s="1" t="s">
        <v>3397</v>
      </c>
      <c r="B65" s="1" t="s">
        <v>307</v>
      </c>
      <c r="C65" s="1" t="s">
        <v>3320</v>
      </c>
      <c r="D65" s="1">
        <v>2</v>
      </c>
      <c r="E65" s="1"/>
      <c r="F65" s="1" t="s">
        <v>20</v>
      </c>
      <c r="G65" s="1"/>
      <c r="H65" s="1"/>
      <c r="I65" s="1"/>
      <c r="J65" s="1" t="s">
        <v>3398</v>
      </c>
      <c r="K65" s="1" t="s">
        <v>59</v>
      </c>
      <c r="L65" s="1"/>
    </row>
    <row r="66" spans="1:12">
      <c r="A66" s="1" t="s">
        <v>3399</v>
      </c>
      <c r="B66" s="1" t="s">
        <v>314</v>
      </c>
      <c r="C66" s="1" t="s">
        <v>3310</v>
      </c>
      <c r="D66" s="1">
        <v>1</v>
      </c>
      <c r="E66" s="1"/>
      <c r="F66" s="1" t="s">
        <v>20</v>
      </c>
      <c r="G66" s="1"/>
      <c r="H66" s="1"/>
      <c r="I66" s="1"/>
      <c r="J66" s="1" t="s">
        <v>316</v>
      </c>
      <c r="K66" s="1" t="s">
        <v>59</v>
      </c>
      <c r="L66" s="1"/>
    </row>
    <row r="67" spans="1:12">
      <c r="A67" s="1" t="s">
        <v>3400</v>
      </c>
      <c r="B67" s="1" t="s">
        <v>318</v>
      </c>
      <c r="C67" s="1" t="s">
        <v>3310</v>
      </c>
      <c r="D67" s="1">
        <v>1</v>
      </c>
      <c r="E67" s="1"/>
      <c r="F67" s="1" t="s">
        <v>20</v>
      </c>
      <c r="G67" s="1"/>
      <c r="H67" s="1"/>
      <c r="I67" s="1"/>
      <c r="J67" s="1" t="s">
        <v>319</v>
      </c>
      <c r="K67" s="1" t="s">
        <v>59</v>
      </c>
      <c r="L67" s="1"/>
    </row>
    <row r="68" spans="1:12">
      <c r="A68" s="1" t="s">
        <v>3401</v>
      </c>
      <c r="B68" s="1" t="s">
        <v>321</v>
      </c>
      <c r="C68" s="1" t="s">
        <v>3310</v>
      </c>
      <c r="D68" s="1">
        <v>1</v>
      </c>
      <c r="E68" s="1"/>
      <c r="F68" s="1" t="s">
        <v>20</v>
      </c>
      <c r="G68" s="1"/>
      <c r="H68" s="1"/>
      <c r="I68" s="1"/>
      <c r="J68" s="1" t="s">
        <v>323</v>
      </c>
      <c r="K68" s="1" t="s">
        <v>59</v>
      </c>
      <c r="L68" s="1"/>
    </row>
    <row r="69" spans="1:12" ht="22.8">
      <c r="A69" s="1" t="s">
        <v>3402</v>
      </c>
      <c r="B69" s="1" t="s">
        <v>325</v>
      </c>
      <c r="C69" s="1" t="s">
        <v>3314</v>
      </c>
      <c r="D69" s="1">
        <v>1</v>
      </c>
      <c r="E69" s="1"/>
      <c r="F69" s="1" t="s">
        <v>20</v>
      </c>
      <c r="G69" s="1"/>
      <c r="H69" s="1"/>
      <c r="I69" s="1"/>
      <c r="J69" s="1" t="s">
        <v>328</v>
      </c>
      <c r="K69" s="1" t="s">
        <v>59</v>
      </c>
      <c r="L69" s="1" t="s">
        <v>3317</v>
      </c>
    </row>
    <row r="70" spans="1:12">
      <c r="A70" s="1" t="s">
        <v>3403</v>
      </c>
      <c r="B70" s="1" t="s">
        <v>330</v>
      </c>
      <c r="C70" s="1" t="s">
        <v>3310</v>
      </c>
      <c r="D70" s="1">
        <v>1</v>
      </c>
      <c r="E70" s="1"/>
      <c r="F70" s="1" t="s">
        <v>20</v>
      </c>
      <c r="G70" s="1"/>
      <c r="H70" s="1"/>
      <c r="I70" s="1"/>
      <c r="J70" s="1" t="s">
        <v>331</v>
      </c>
      <c r="K70" s="1" t="s">
        <v>59</v>
      </c>
      <c r="L70" s="1"/>
    </row>
    <row r="71" spans="1:12">
      <c r="A71" s="1" t="s">
        <v>3404</v>
      </c>
      <c r="B71" s="1" t="s">
        <v>333</v>
      </c>
      <c r="C71" s="1" t="s">
        <v>3310</v>
      </c>
      <c r="D71" s="1">
        <v>1</v>
      </c>
      <c r="E71" s="1"/>
      <c r="F71" s="1" t="s">
        <v>20</v>
      </c>
      <c r="G71" s="1"/>
      <c r="H71" s="1"/>
      <c r="I71" s="1"/>
      <c r="J71" s="1" t="s">
        <v>334</v>
      </c>
      <c r="K71" s="1" t="s">
        <v>59</v>
      </c>
      <c r="L71" s="1"/>
    </row>
    <row r="72" spans="1:12">
      <c r="A72" s="1" t="s">
        <v>3405</v>
      </c>
      <c r="B72" s="1" t="s">
        <v>336</v>
      </c>
      <c r="C72" s="1" t="s">
        <v>3310</v>
      </c>
      <c r="D72" s="1">
        <v>1</v>
      </c>
      <c r="E72" s="1"/>
      <c r="F72" s="1" t="s">
        <v>20</v>
      </c>
      <c r="G72" s="1"/>
      <c r="H72" s="1"/>
      <c r="I72" s="1"/>
      <c r="J72" s="1" t="s">
        <v>337</v>
      </c>
      <c r="K72" s="1" t="s">
        <v>59</v>
      </c>
      <c r="L72" s="1"/>
    </row>
    <row r="73" spans="1:12" ht="136.80000000000001">
      <c r="A73" s="1" t="s">
        <v>3406</v>
      </c>
      <c r="B73" s="1" t="s">
        <v>339</v>
      </c>
      <c r="C73" s="1" t="s">
        <v>3320</v>
      </c>
      <c r="D73" s="1">
        <v>5</v>
      </c>
      <c r="E73" s="1"/>
      <c r="F73" s="1" t="s">
        <v>3315</v>
      </c>
      <c r="G73" s="1" t="s">
        <v>614</v>
      </c>
      <c r="H73" s="1" t="s">
        <v>2612</v>
      </c>
      <c r="I73" s="1"/>
      <c r="J73" s="1" t="s">
        <v>3407</v>
      </c>
      <c r="K73" s="1" t="s">
        <v>59</v>
      </c>
      <c r="L73" s="1"/>
    </row>
    <row r="74" spans="1:12">
      <c r="A74" s="1" t="s">
        <v>3408</v>
      </c>
      <c r="B74" s="1" t="s">
        <v>348</v>
      </c>
      <c r="C74" s="1" t="s">
        <v>3310</v>
      </c>
      <c r="D74" s="1">
        <v>1</v>
      </c>
      <c r="E74" s="1"/>
      <c r="F74" s="1" t="s">
        <v>20</v>
      </c>
      <c r="G74" s="1"/>
      <c r="H74" s="1"/>
      <c r="I74" s="1"/>
      <c r="J74" s="1" t="s">
        <v>349</v>
      </c>
      <c r="K74" s="1" t="s">
        <v>59</v>
      </c>
      <c r="L74" s="1"/>
    </row>
    <row r="75" spans="1:12">
      <c r="A75" s="1" t="s">
        <v>3409</v>
      </c>
      <c r="B75" s="1" t="s">
        <v>351</v>
      </c>
      <c r="C75" s="1" t="s">
        <v>3310</v>
      </c>
      <c r="D75" s="1">
        <v>1</v>
      </c>
      <c r="E75" s="1"/>
      <c r="F75" s="1" t="s">
        <v>20</v>
      </c>
      <c r="G75" s="1"/>
      <c r="H75" s="1"/>
      <c r="I75" s="1"/>
      <c r="J75" s="1" t="s">
        <v>353</v>
      </c>
      <c r="K75" s="1" t="s">
        <v>59</v>
      </c>
      <c r="L75" s="1"/>
    </row>
    <row r="76" spans="1:12">
      <c r="A76" s="1" t="s">
        <v>3410</v>
      </c>
      <c r="B76" s="1" t="s">
        <v>355</v>
      </c>
      <c r="C76" s="1" t="s">
        <v>3310</v>
      </c>
      <c r="D76" s="1">
        <v>1</v>
      </c>
      <c r="E76" s="1"/>
      <c r="F76" s="1" t="s">
        <v>20</v>
      </c>
      <c r="G76" s="1"/>
      <c r="H76" s="1"/>
      <c r="I76" s="1"/>
      <c r="J76" s="1" t="s">
        <v>356</v>
      </c>
      <c r="K76" s="1" t="s">
        <v>59</v>
      </c>
      <c r="L76" s="1"/>
    </row>
    <row r="77" spans="1:12">
      <c r="A77" s="1" t="s">
        <v>3411</v>
      </c>
      <c r="B77" s="1" t="s">
        <v>358</v>
      </c>
      <c r="C77" s="1" t="s">
        <v>3310</v>
      </c>
      <c r="D77" s="1">
        <v>1</v>
      </c>
      <c r="E77" s="1"/>
      <c r="F77" s="1" t="s">
        <v>20</v>
      </c>
      <c r="G77" s="1"/>
      <c r="H77" s="1"/>
      <c r="I77" s="1"/>
      <c r="J77" s="1" t="s">
        <v>360</v>
      </c>
      <c r="K77" s="1" t="s">
        <v>59</v>
      </c>
      <c r="L77" s="1"/>
    </row>
    <row r="78" spans="1:12">
      <c r="A78" s="1" t="s">
        <v>3412</v>
      </c>
      <c r="B78" s="1" t="s">
        <v>362</v>
      </c>
      <c r="C78" s="1" t="s">
        <v>3310</v>
      </c>
      <c r="D78" s="1">
        <v>1</v>
      </c>
      <c r="E78" s="1"/>
      <c r="F78" s="1" t="s">
        <v>20</v>
      </c>
      <c r="G78" s="1"/>
      <c r="H78" s="1"/>
      <c r="I78" s="1"/>
      <c r="J78" s="1" t="s">
        <v>363</v>
      </c>
      <c r="K78" s="1" t="s">
        <v>59</v>
      </c>
      <c r="L78" s="1"/>
    </row>
    <row r="79" spans="1:12">
      <c r="A79" s="1" t="s">
        <v>3413</v>
      </c>
      <c r="B79" s="1" t="s">
        <v>365</v>
      </c>
      <c r="C79" s="1" t="s">
        <v>3310</v>
      </c>
      <c r="D79" s="1">
        <v>1</v>
      </c>
      <c r="E79" s="1"/>
      <c r="F79" s="1" t="s">
        <v>20</v>
      </c>
      <c r="G79" s="1"/>
      <c r="H79" s="1"/>
      <c r="I79" s="1"/>
      <c r="J79" s="1" t="s">
        <v>366</v>
      </c>
      <c r="K79" s="1" t="s">
        <v>59</v>
      </c>
      <c r="L79" s="1"/>
    </row>
    <row r="80" spans="1:12">
      <c r="A80" s="1" t="s">
        <v>3414</v>
      </c>
      <c r="B80" s="1" t="s">
        <v>368</v>
      </c>
      <c r="C80" s="1" t="s">
        <v>3310</v>
      </c>
      <c r="D80" s="1">
        <v>1</v>
      </c>
      <c r="E80" s="1"/>
      <c r="F80" s="1" t="s">
        <v>20</v>
      </c>
      <c r="G80" s="1"/>
      <c r="H80" s="1"/>
      <c r="I80" s="1"/>
      <c r="J80" s="1" t="s">
        <v>369</v>
      </c>
      <c r="K80" s="1" t="s">
        <v>59</v>
      </c>
      <c r="L80" s="1"/>
    </row>
    <row r="81" spans="1:12">
      <c r="A81" s="1" t="s">
        <v>3415</v>
      </c>
      <c r="B81" s="1" t="s">
        <v>371</v>
      </c>
      <c r="C81" s="1" t="s">
        <v>3310</v>
      </c>
      <c r="D81" s="1">
        <v>1</v>
      </c>
      <c r="E81" s="1"/>
      <c r="F81" s="1" t="s">
        <v>20</v>
      </c>
      <c r="G81" s="1"/>
      <c r="H81" s="1"/>
      <c r="I81" s="1"/>
      <c r="J81" s="1" t="s">
        <v>372</v>
      </c>
      <c r="K81" s="1" t="s">
        <v>59</v>
      </c>
      <c r="L81" s="1"/>
    </row>
    <row r="82" spans="1:12">
      <c r="A82" s="1" t="s">
        <v>3416</v>
      </c>
      <c r="B82" s="1" t="s">
        <v>374</v>
      </c>
      <c r="C82" s="1" t="s">
        <v>3310</v>
      </c>
      <c r="D82" s="1">
        <v>1</v>
      </c>
      <c r="E82" s="1"/>
      <c r="F82" s="1" t="s">
        <v>20</v>
      </c>
      <c r="G82" s="1"/>
      <c r="H82" s="1"/>
      <c r="I82" s="1"/>
      <c r="J82" s="1" t="s">
        <v>375</v>
      </c>
      <c r="K82" s="1" t="s">
        <v>59</v>
      </c>
      <c r="L82" s="1"/>
    </row>
    <row r="83" spans="1:12">
      <c r="A83" s="1" t="s">
        <v>3417</v>
      </c>
      <c r="B83" s="1" t="s">
        <v>377</v>
      </c>
      <c r="C83" s="1" t="s">
        <v>3310</v>
      </c>
      <c r="D83" s="1">
        <v>1</v>
      </c>
      <c r="E83" s="1"/>
      <c r="F83" s="1" t="s">
        <v>20</v>
      </c>
      <c r="G83" s="1"/>
      <c r="H83" s="1"/>
      <c r="I83" s="1"/>
      <c r="J83" s="1" t="s">
        <v>379</v>
      </c>
      <c r="K83" s="1" t="s">
        <v>59</v>
      </c>
      <c r="L83" s="1"/>
    </row>
    <row r="84" spans="1:12">
      <c r="A84" s="1" t="s">
        <v>3418</v>
      </c>
      <c r="B84" s="1" t="s">
        <v>381</v>
      </c>
      <c r="C84" s="1" t="s">
        <v>3310</v>
      </c>
      <c r="D84" s="1">
        <v>1</v>
      </c>
      <c r="E84" s="1"/>
      <c r="F84" s="1" t="s">
        <v>20</v>
      </c>
      <c r="G84" s="1"/>
      <c r="H84" s="1"/>
      <c r="I84" s="1"/>
      <c r="J84" s="1" t="s">
        <v>382</v>
      </c>
      <c r="K84" s="1" t="s">
        <v>59</v>
      </c>
      <c r="L84" s="1"/>
    </row>
    <row r="85" spans="1:12">
      <c r="A85" s="1" t="s">
        <v>3419</v>
      </c>
      <c r="B85" s="1" t="s">
        <v>384</v>
      </c>
      <c r="C85" s="1" t="s">
        <v>3310</v>
      </c>
      <c r="D85" s="1">
        <v>1</v>
      </c>
      <c r="E85" s="1"/>
      <c r="F85" s="1" t="s">
        <v>20</v>
      </c>
      <c r="G85" s="1"/>
      <c r="H85" s="1"/>
      <c r="I85" s="1"/>
      <c r="J85" s="1" t="s">
        <v>385</v>
      </c>
      <c r="K85" s="1" t="s">
        <v>59</v>
      </c>
      <c r="L85" s="1"/>
    </row>
    <row r="86" spans="1:12" ht="22.8">
      <c r="A86" s="1" t="s">
        <v>3420</v>
      </c>
      <c r="B86" s="1" t="s">
        <v>387</v>
      </c>
      <c r="C86" s="1" t="s">
        <v>3320</v>
      </c>
      <c r="D86" s="1">
        <v>2</v>
      </c>
      <c r="E86" s="1"/>
      <c r="F86" s="1" t="s">
        <v>20</v>
      </c>
      <c r="G86" s="1"/>
      <c r="H86" s="1"/>
      <c r="I86" s="1"/>
      <c r="J86" s="1" t="s">
        <v>3421</v>
      </c>
      <c r="K86" s="1" t="s">
        <v>59</v>
      </c>
      <c r="L86" s="1"/>
    </row>
    <row r="87" spans="1:12">
      <c r="A87" s="1" t="s">
        <v>3422</v>
      </c>
      <c r="B87" s="1" t="s">
        <v>392</v>
      </c>
      <c r="C87" s="1" t="s">
        <v>3310</v>
      </c>
      <c r="D87" s="1">
        <v>1</v>
      </c>
      <c r="E87" s="1"/>
      <c r="F87" s="1" t="s">
        <v>20</v>
      </c>
      <c r="G87" s="1"/>
      <c r="H87" s="1"/>
      <c r="I87" s="1"/>
      <c r="J87" s="1" t="s">
        <v>393</v>
      </c>
      <c r="K87" s="1" t="s">
        <v>59</v>
      </c>
      <c r="L87" s="1"/>
    </row>
    <row r="88" spans="1:12">
      <c r="A88" s="1" t="s">
        <v>3423</v>
      </c>
      <c r="B88" s="1" t="s">
        <v>395</v>
      </c>
      <c r="C88" s="1" t="s">
        <v>3310</v>
      </c>
      <c r="D88" s="1">
        <v>1</v>
      </c>
      <c r="E88" s="1"/>
      <c r="F88" s="1" t="s">
        <v>20</v>
      </c>
      <c r="G88" s="1"/>
      <c r="H88" s="1"/>
      <c r="I88" s="1"/>
      <c r="J88" s="1" t="s">
        <v>396</v>
      </c>
      <c r="K88" s="1" t="s">
        <v>59</v>
      </c>
      <c r="L88" s="1"/>
    </row>
    <row r="89" spans="1:12">
      <c r="A89" s="1" t="s">
        <v>3424</v>
      </c>
      <c r="B89" s="1" t="s">
        <v>398</v>
      </c>
      <c r="C89" s="1" t="s">
        <v>3310</v>
      </c>
      <c r="D89" s="1">
        <v>1</v>
      </c>
      <c r="E89" s="1"/>
      <c r="F89" s="1" t="s">
        <v>20</v>
      </c>
      <c r="G89" s="1"/>
      <c r="H89" s="1"/>
      <c r="I89" s="1"/>
      <c r="J89" s="1" t="s">
        <v>399</v>
      </c>
      <c r="K89" s="1" t="s">
        <v>59</v>
      </c>
      <c r="L89" s="1"/>
    </row>
    <row r="90" spans="1:12" ht="102.6">
      <c r="A90" s="1" t="s">
        <v>3425</v>
      </c>
      <c r="B90" s="1" t="s">
        <v>401</v>
      </c>
      <c r="C90" s="1" t="s">
        <v>3310</v>
      </c>
      <c r="D90" s="1">
        <v>1</v>
      </c>
      <c r="E90" s="1"/>
      <c r="F90" s="1" t="s">
        <v>20</v>
      </c>
      <c r="G90" s="1" t="s">
        <v>403</v>
      </c>
      <c r="H90" s="1" t="s">
        <v>404</v>
      </c>
      <c r="I90" s="1"/>
      <c r="J90" s="1" t="s">
        <v>3426</v>
      </c>
      <c r="K90" s="1" t="s">
        <v>59</v>
      </c>
      <c r="L90" s="1"/>
    </row>
    <row r="91" spans="1:12">
      <c r="A91" s="1" t="s">
        <v>3427</v>
      </c>
      <c r="B91" s="1" t="s">
        <v>409</v>
      </c>
      <c r="C91" s="1" t="s">
        <v>3310</v>
      </c>
      <c r="D91" s="1">
        <v>1</v>
      </c>
      <c r="E91" s="1"/>
      <c r="F91" s="1" t="s">
        <v>20</v>
      </c>
      <c r="G91" s="1"/>
      <c r="H91" s="1"/>
      <c r="I91" s="1"/>
      <c r="J91" s="1" t="s">
        <v>410</v>
      </c>
      <c r="K91" s="1" t="s">
        <v>59</v>
      </c>
      <c r="L91" s="1"/>
    </row>
    <row r="92" spans="1:12" ht="22.8">
      <c r="A92" s="1" t="s">
        <v>3428</v>
      </c>
      <c r="B92" s="1" t="s">
        <v>412</v>
      </c>
      <c r="C92" s="1" t="s">
        <v>3320</v>
      </c>
      <c r="D92" s="1">
        <v>2</v>
      </c>
      <c r="E92" s="1"/>
      <c r="F92" s="1" t="s">
        <v>20</v>
      </c>
      <c r="G92" s="1"/>
      <c r="H92" s="1"/>
      <c r="I92" s="1"/>
      <c r="J92" s="1" t="s">
        <v>3429</v>
      </c>
      <c r="K92" s="1" t="s">
        <v>59</v>
      </c>
      <c r="L92" s="1"/>
    </row>
    <row r="93" spans="1:12">
      <c r="A93" s="1" t="s">
        <v>3430</v>
      </c>
      <c r="B93" s="1" t="s">
        <v>417</v>
      </c>
      <c r="C93" s="1" t="s">
        <v>3310</v>
      </c>
      <c r="D93" s="1">
        <v>1</v>
      </c>
      <c r="E93" s="1"/>
      <c r="F93" s="1" t="s">
        <v>20</v>
      </c>
      <c r="G93" s="1"/>
      <c r="H93" s="1"/>
      <c r="I93" s="1"/>
      <c r="J93" s="1" t="s">
        <v>419</v>
      </c>
      <c r="K93" s="1" t="s">
        <v>59</v>
      </c>
      <c r="L93" s="1"/>
    </row>
    <row r="94" spans="1:12" ht="22.8">
      <c r="A94" s="1" t="s">
        <v>3431</v>
      </c>
      <c r="B94" s="1" t="s">
        <v>421</v>
      </c>
      <c r="C94" s="1" t="s">
        <v>3320</v>
      </c>
      <c r="D94" s="1">
        <v>2</v>
      </c>
      <c r="E94" s="1"/>
      <c r="F94" s="1" t="s">
        <v>20</v>
      </c>
      <c r="G94" s="1"/>
      <c r="H94" s="1"/>
      <c r="I94" s="1"/>
      <c r="J94" s="1" t="s">
        <v>3432</v>
      </c>
      <c r="K94" s="1" t="s">
        <v>59</v>
      </c>
      <c r="L94" s="1"/>
    </row>
    <row r="95" spans="1:12">
      <c r="A95" s="1" t="s">
        <v>3433</v>
      </c>
      <c r="B95" s="1" t="s">
        <v>427</v>
      </c>
      <c r="C95" s="1" t="s">
        <v>3310</v>
      </c>
      <c r="D95" s="1">
        <v>1</v>
      </c>
      <c r="E95" s="1"/>
      <c r="F95" s="1" t="s">
        <v>20</v>
      </c>
      <c r="G95" s="1"/>
      <c r="H95" s="1"/>
      <c r="I95" s="1"/>
      <c r="J95" s="1" t="s">
        <v>429</v>
      </c>
      <c r="K95" s="1" t="s">
        <v>59</v>
      </c>
      <c r="L95" s="1"/>
    </row>
    <row r="96" spans="1:12">
      <c r="A96" s="1" t="s">
        <v>3434</v>
      </c>
      <c r="B96" s="1" t="s">
        <v>431</v>
      </c>
      <c r="C96" s="1" t="s">
        <v>3310</v>
      </c>
      <c r="D96" s="1">
        <v>1</v>
      </c>
      <c r="E96" s="1"/>
      <c r="F96" s="1" t="s">
        <v>20</v>
      </c>
      <c r="G96" s="1"/>
      <c r="H96" s="1"/>
      <c r="I96" s="1"/>
      <c r="J96" s="1" t="s">
        <v>432</v>
      </c>
      <c r="K96" s="1" t="s">
        <v>59</v>
      </c>
      <c r="L96" s="1"/>
    </row>
    <row r="97" spans="1:12">
      <c r="A97" s="1" t="s">
        <v>3435</v>
      </c>
      <c r="B97" s="1" t="s">
        <v>434</v>
      </c>
      <c r="C97" s="1" t="s">
        <v>3310</v>
      </c>
      <c r="D97" s="1">
        <v>1</v>
      </c>
      <c r="E97" s="1"/>
      <c r="F97" s="1" t="s">
        <v>20</v>
      </c>
      <c r="G97" s="1"/>
      <c r="H97" s="1"/>
      <c r="I97" s="1"/>
      <c r="J97" s="1" t="s">
        <v>435</v>
      </c>
      <c r="K97" s="1" t="s">
        <v>59</v>
      </c>
      <c r="L97" s="1"/>
    </row>
    <row r="98" spans="1:12" ht="102.6">
      <c r="A98" s="1" t="s">
        <v>3436</v>
      </c>
      <c r="B98" s="1" t="s">
        <v>437</v>
      </c>
      <c r="C98" s="1" t="s">
        <v>3314</v>
      </c>
      <c r="D98" s="1">
        <v>2</v>
      </c>
      <c r="E98" s="1"/>
      <c r="F98" s="1" t="s">
        <v>3315</v>
      </c>
      <c r="G98" s="1" t="s">
        <v>1295</v>
      </c>
      <c r="H98" s="1" t="s">
        <v>2628</v>
      </c>
      <c r="I98" s="1"/>
      <c r="J98" s="1" t="s">
        <v>3437</v>
      </c>
      <c r="K98" s="1" t="s">
        <v>59</v>
      </c>
      <c r="L98" s="1" t="s">
        <v>3317</v>
      </c>
    </row>
    <row r="99" spans="1:12">
      <c r="A99" s="1" t="s">
        <v>3438</v>
      </c>
      <c r="B99" s="1" t="s">
        <v>441</v>
      </c>
      <c r="C99" s="1" t="s">
        <v>3310</v>
      </c>
      <c r="D99" s="1">
        <v>1</v>
      </c>
      <c r="E99" s="1"/>
      <c r="F99" s="1" t="s">
        <v>20</v>
      </c>
      <c r="G99" s="1"/>
      <c r="H99" s="1"/>
      <c r="I99" s="1"/>
      <c r="J99" s="1" t="s">
        <v>442</v>
      </c>
      <c r="K99" s="1" t="s">
        <v>59</v>
      </c>
      <c r="L99" s="1"/>
    </row>
    <row r="100" spans="1:12">
      <c r="A100" s="1" t="s">
        <v>3439</v>
      </c>
      <c r="B100" s="1" t="s">
        <v>444</v>
      </c>
      <c r="C100" s="1" t="s">
        <v>3310</v>
      </c>
      <c r="D100" s="1">
        <v>1</v>
      </c>
      <c r="E100" s="1"/>
      <c r="F100" s="1" t="s">
        <v>20</v>
      </c>
      <c r="G100" s="1"/>
      <c r="H100" s="1"/>
      <c r="I100" s="1"/>
      <c r="J100" s="1" t="s">
        <v>445</v>
      </c>
      <c r="K100" s="1" t="s">
        <v>59</v>
      </c>
      <c r="L100" s="1"/>
    </row>
    <row r="101" spans="1:12">
      <c r="A101" s="1" t="s">
        <v>3440</v>
      </c>
      <c r="B101" s="1" t="s">
        <v>447</v>
      </c>
      <c r="C101" s="1" t="s">
        <v>3310</v>
      </c>
      <c r="D101" s="1">
        <v>1</v>
      </c>
      <c r="E101" s="1"/>
      <c r="F101" s="1" t="s">
        <v>20</v>
      </c>
      <c r="G101" s="1"/>
      <c r="H101" s="1"/>
      <c r="I101" s="1"/>
      <c r="J101" s="1" t="s">
        <v>449</v>
      </c>
      <c r="K101" s="1" t="s">
        <v>59</v>
      </c>
      <c r="L101" s="1"/>
    </row>
    <row r="102" spans="1:12">
      <c r="A102" s="1" t="s">
        <v>3441</v>
      </c>
      <c r="B102" s="1" t="s">
        <v>451</v>
      </c>
      <c r="C102" s="1" t="s">
        <v>3310</v>
      </c>
      <c r="D102" s="1">
        <v>1</v>
      </c>
      <c r="E102" s="1"/>
      <c r="F102" s="1" t="s">
        <v>20</v>
      </c>
      <c r="G102" s="1"/>
      <c r="H102" s="1"/>
      <c r="I102" s="1"/>
      <c r="J102" s="1" t="s">
        <v>452</v>
      </c>
      <c r="K102" s="1" t="s">
        <v>59</v>
      </c>
      <c r="L102" s="1"/>
    </row>
    <row r="103" spans="1:12">
      <c r="A103" s="1" t="s">
        <v>3442</v>
      </c>
      <c r="B103" s="1" t="s">
        <v>454</v>
      </c>
      <c r="C103" s="1" t="s">
        <v>3310</v>
      </c>
      <c r="D103" s="1">
        <v>1</v>
      </c>
      <c r="E103" s="1"/>
      <c r="F103" s="1" t="s">
        <v>20</v>
      </c>
      <c r="G103" s="1"/>
      <c r="H103" s="1"/>
      <c r="I103" s="1"/>
      <c r="J103" s="1" t="s">
        <v>455</v>
      </c>
      <c r="K103" s="1" t="s">
        <v>59</v>
      </c>
      <c r="L103" s="1"/>
    </row>
    <row r="104" spans="1:12">
      <c r="A104" s="1" t="s">
        <v>3443</v>
      </c>
      <c r="B104" s="1" t="s">
        <v>457</v>
      </c>
      <c r="C104" s="1" t="s">
        <v>3310</v>
      </c>
      <c r="D104" s="1">
        <v>1</v>
      </c>
      <c r="E104" s="1"/>
      <c r="F104" s="1" t="s">
        <v>20</v>
      </c>
      <c r="G104" s="1"/>
      <c r="H104" s="1"/>
      <c r="I104" s="1"/>
      <c r="J104" s="1" t="s">
        <v>458</v>
      </c>
      <c r="K104" s="1" t="s">
        <v>59</v>
      </c>
      <c r="L104" s="1"/>
    </row>
    <row r="105" spans="1:12">
      <c r="A105" s="1" t="s">
        <v>3444</v>
      </c>
      <c r="B105" s="1" t="s">
        <v>460</v>
      </c>
      <c r="C105" s="1" t="s">
        <v>3310</v>
      </c>
      <c r="D105" s="1">
        <v>1</v>
      </c>
      <c r="E105" s="1"/>
      <c r="F105" s="1" t="s">
        <v>20</v>
      </c>
      <c r="G105" s="1"/>
      <c r="H105" s="1"/>
      <c r="I105" s="1"/>
      <c r="J105" s="1" t="s">
        <v>461</v>
      </c>
      <c r="K105" s="1" t="s">
        <v>59</v>
      </c>
      <c r="L105" s="1"/>
    </row>
    <row r="106" spans="1:12">
      <c r="A106" s="1" t="s">
        <v>3445</v>
      </c>
      <c r="B106" s="1" t="s">
        <v>463</v>
      </c>
      <c r="C106" s="1" t="s">
        <v>3310</v>
      </c>
      <c r="D106" s="1">
        <v>1</v>
      </c>
      <c r="E106" s="1"/>
      <c r="F106" s="1" t="s">
        <v>20</v>
      </c>
      <c r="G106" s="1"/>
      <c r="H106" s="1"/>
      <c r="I106" s="1"/>
      <c r="J106" s="1" t="s">
        <v>464</v>
      </c>
      <c r="K106" s="1" t="s">
        <v>59</v>
      </c>
      <c r="L106" s="1"/>
    </row>
    <row r="107" spans="1:12" ht="102.6">
      <c r="A107" s="1" t="s">
        <v>3446</v>
      </c>
      <c r="B107" s="1" t="s">
        <v>466</v>
      </c>
      <c r="C107" s="1" t="s">
        <v>3314</v>
      </c>
      <c r="D107" s="1">
        <v>2</v>
      </c>
      <c r="E107" s="1"/>
      <c r="F107" s="1" t="s">
        <v>3315</v>
      </c>
      <c r="G107" s="1" t="s">
        <v>403</v>
      </c>
      <c r="H107" s="1" t="s">
        <v>615</v>
      </c>
      <c r="I107" s="1"/>
      <c r="J107" s="1" t="s">
        <v>3447</v>
      </c>
      <c r="K107" s="1" t="s">
        <v>59</v>
      </c>
      <c r="L107" s="1" t="s">
        <v>3317</v>
      </c>
    </row>
    <row r="108" spans="1:12">
      <c r="A108" s="1" t="s">
        <v>3448</v>
      </c>
      <c r="B108" s="1" t="s">
        <v>470</v>
      </c>
      <c r="C108" s="1" t="s">
        <v>3310</v>
      </c>
      <c r="D108" s="1">
        <v>1</v>
      </c>
      <c r="E108" s="1"/>
      <c r="F108" s="1" t="s">
        <v>20</v>
      </c>
      <c r="G108" s="1"/>
      <c r="H108" s="1"/>
      <c r="I108" s="1"/>
      <c r="J108" s="1" t="s">
        <v>471</v>
      </c>
      <c r="K108" s="1" t="s">
        <v>59</v>
      </c>
      <c r="L108" s="1"/>
    </row>
    <row r="109" spans="1:12">
      <c r="A109" s="1" t="s">
        <v>3449</v>
      </c>
      <c r="B109" s="1" t="s">
        <v>473</v>
      </c>
      <c r="C109" s="1" t="s">
        <v>3310</v>
      </c>
      <c r="D109" s="1">
        <v>1</v>
      </c>
      <c r="E109" s="1"/>
      <c r="F109" s="1" t="s">
        <v>20</v>
      </c>
      <c r="G109" s="1"/>
      <c r="H109" s="1"/>
      <c r="I109" s="1"/>
      <c r="J109" s="1" t="s">
        <v>474</v>
      </c>
      <c r="K109" s="1" t="s">
        <v>59</v>
      </c>
      <c r="L109" s="1"/>
    </row>
    <row r="110" spans="1:12">
      <c r="A110" s="1" t="s">
        <v>3450</v>
      </c>
      <c r="B110" s="1" t="s">
        <v>476</v>
      </c>
      <c r="C110" s="1" t="s">
        <v>3310</v>
      </c>
      <c r="D110" s="1">
        <v>1</v>
      </c>
      <c r="E110" s="1"/>
      <c r="F110" s="1" t="s">
        <v>20</v>
      </c>
      <c r="G110" s="1"/>
      <c r="H110" s="1"/>
      <c r="I110" s="1"/>
      <c r="J110" s="1" t="s">
        <v>478</v>
      </c>
      <c r="K110" s="1" t="s">
        <v>59</v>
      </c>
      <c r="L110" s="1"/>
    </row>
    <row r="111" spans="1:12">
      <c r="A111" s="1" t="s">
        <v>3451</v>
      </c>
      <c r="B111" s="1" t="s">
        <v>480</v>
      </c>
      <c r="C111" s="1" t="s">
        <v>3310</v>
      </c>
      <c r="D111" s="1">
        <v>1</v>
      </c>
      <c r="E111" s="1"/>
      <c r="F111" s="1" t="s">
        <v>20</v>
      </c>
      <c r="G111" s="1"/>
      <c r="H111" s="1"/>
      <c r="I111" s="1"/>
      <c r="J111" s="1" t="s">
        <v>481</v>
      </c>
      <c r="K111" s="1" t="s">
        <v>59</v>
      </c>
      <c r="L111" s="1"/>
    </row>
    <row r="112" spans="1:12">
      <c r="A112" s="1" t="s">
        <v>3452</v>
      </c>
      <c r="B112" s="1" t="s">
        <v>483</v>
      </c>
      <c r="C112" s="1" t="s">
        <v>3310</v>
      </c>
      <c r="D112" s="1">
        <v>1</v>
      </c>
      <c r="E112" s="1"/>
      <c r="F112" s="1" t="s">
        <v>20</v>
      </c>
      <c r="G112" s="1"/>
      <c r="H112" s="1"/>
      <c r="I112" s="1"/>
      <c r="J112" s="1" t="s">
        <v>484</v>
      </c>
      <c r="K112" s="1" t="s">
        <v>59</v>
      </c>
      <c r="L112" s="1"/>
    </row>
    <row r="113" spans="1:12" ht="22.8">
      <c r="A113" s="1" t="s">
        <v>3453</v>
      </c>
      <c r="B113" s="1" t="s">
        <v>486</v>
      </c>
      <c r="C113" s="1" t="s">
        <v>3320</v>
      </c>
      <c r="D113" s="1">
        <v>2</v>
      </c>
      <c r="E113" s="1"/>
      <c r="F113" s="1" t="s">
        <v>20</v>
      </c>
      <c r="G113" s="1"/>
      <c r="H113" s="1"/>
      <c r="I113" s="1"/>
      <c r="J113" s="1" t="s">
        <v>3454</v>
      </c>
      <c r="K113" s="1" t="s">
        <v>59</v>
      </c>
      <c r="L113" s="1"/>
    </row>
    <row r="114" spans="1:12">
      <c r="A114" s="1" t="s">
        <v>3455</v>
      </c>
      <c r="B114" s="1" t="s">
        <v>491</v>
      </c>
      <c r="C114" s="1" t="s">
        <v>3310</v>
      </c>
      <c r="D114" s="1">
        <v>1</v>
      </c>
      <c r="E114" s="1"/>
      <c r="F114" s="1" t="s">
        <v>20</v>
      </c>
      <c r="G114" s="1"/>
      <c r="H114" s="1"/>
      <c r="I114" s="1"/>
      <c r="J114" s="1" t="s">
        <v>492</v>
      </c>
      <c r="K114" s="1" t="s">
        <v>59</v>
      </c>
      <c r="L114" s="1"/>
    </row>
    <row r="115" spans="1:12">
      <c r="A115" s="1" t="s">
        <v>3456</v>
      </c>
      <c r="B115" s="1" t="s">
        <v>494</v>
      </c>
      <c r="C115" s="1" t="s">
        <v>3310</v>
      </c>
      <c r="D115" s="1">
        <v>1</v>
      </c>
      <c r="E115" s="1"/>
      <c r="F115" s="1" t="s">
        <v>20</v>
      </c>
      <c r="G115" s="1"/>
      <c r="H115" s="1"/>
      <c r="I115" s="1"/>
      <c r="J115" s="1" t="s">
        <v>496</v>
      </c>
      <c r="K115" s="1" t="s">
        <v>59</v>
      </c>
      <c r="L115" s="1"/>
    </row>
    <row r="116" spans="1:12">
      <c r="A116" s="1" t="s">
        <v>3457</v>
      </c>
      <c r="B116" s="1" t="s">
        <v>498</v>
      </c>
      <c r="C116" s="1" t="s">
        <v>3310</v>
      </c>
      <c r="D116" s="1">
        <v>1</v>
      </c>
      <c r="E116" s="1"/>
      <c r="F116" s="1" t="s">
        <v>20</v>
      </c>
      <c r="G116" s="1"/>
      <c r="H116" s="1"/>
      <c r="I116" s="1"/>
      <c r="J116" s="1" t="s">
        <v>499</v>
      </c>
      <c r="K116" s="1" t="s">
        <v>59</v>
      </c>
      <c r="L116" s="1"/>
    </row>
    <row r="117" spans="1:12">
      <c r="A117" s="1" t="s">
        <v>3458</v>
      </c>
      <c r="B117" s="1" t="s">
        <v>501</v>
      </c>
      <c r="C117" s="1" t="s">
        <v>3310</v>
      </c>
      <c r="D117" s="1">
        <v>1</v>
      </c>
      <c r="E117" s="1"/>
      <c r="F117" s="1" t="s">
        <v>20</v>
      </c>
      <c r="G117" s="1"/>
      <c r="H117" s="1"/>
      <c r="I117" s="1"/>
      <c r="J117" s="1" t="s">
        <v>502</v>
      </c>
      <c r="K117" s="1" t="s">
        <v>59</v>
      </c>
      <c r="L117" s="1"/>
    </row>
    <row r="118" spans="1:12">
      <c r="A118" s="1" t="s">
        <v>3459</v>
      </c>
      <c r="B118" s="1" t="s">
        <v>504</v>
      </c>
      <c r="C118" s="1" t="s">
        <v>3310</v>
      </c>
      <c r="D118" s="1">
        <v>1</v>
      </c>
      <c r="E118" s="1"/>
      <c r="F118" s="1" t="s">
        <v>20</v>
      </c>
      <c r="G118" s="1"/>
      <c r="H118" s="1"/>
      <c r="I118" s="1"/>
      <c r="J118" s="1" t="s">
        <v>505</v>
      </c>
      <c r="K118" s="1" t="s">
        <v>59</v>
      </c>
      <c r="L118" s="1"/>
    </row>
    <row r="119" spans="1:12">
      <c r="A119" s="1" t="s">
        <v>3460</v>
      </c>
      <c r="B119" s="1" t="s">
        <v>507</v>
      </c>
      <c r="C119" s="1" t="s">
        <v>3310</v>
      </c>
      <c r="D119" s="1">
        <v>1</v>
      </c>
      <c r="E119" s="1"/>
      <c r="F119" s="1" t="s">
        <v>20</v>
      </c>
      <c r="G119" s="1"/>
      <c r="H119" s="1"/>
      <c r="I119" s="1"/>
      <c r="J119" s="1" t="s">
        <v>509</v>
      </c>
      <c r="K119" s="1" t="s">
        <v>59</v>
      </c>
      <c r="L119" s="1"/>
    </row>
    <row r="120" spans="1:12">
      <c r="A120" s="1" t="s">
        <v>3461</v>
      </c>
      <c r="B120" s="1" t="s">
        <v>511</v>
      </c>
      <c r="C120" s="1" t="s">
        <v>3310</v>
      </c>
      <c r="D120" s="1">
        <v>1</v>
      </c>
      <c r="E120" s="1"/>
      <c r="F120" s="1" t="s">
        <v>20</v>
      </c>
      <c r="G120" s="1"/>
      <c r="H120" s="1"/>
      <c r="I120" s="1"/>
      <c r="J120" s="1" t="s">
        <v>513</v>
      </c>
      <c r="K120" s="1" t="s">
        <v>59</v>
      </c>
      <c r="L120" s="1"/>
    </row>
    <row r="121" spans="1:12" ht="114">
      <c r="A121" s="1" t="s">
        <v>3462</v>
      </c>
      <c r="B121" s="1" t="s">
        <v>515</v>
      </c>
      <c r="C121" s="1" t="s">
        <v>3320</v>
      </c>
      <c r="D121" s="1">
        <v>3</v>
      </c>
      <c r="E121" s="1"/>
      <c r="F121" s="1" t="s">
        <v>3315</v>
      </c>
      <c r="G121" s="1" t="s">
        <v>1218</v>
      </c>
      <c r="H121" s="1" t="s">
        <v>2697</v>
      </c>
      <c r="I121" s="1"/>
      <c r="J121" s="1" t="s">
        <v>3463</v>
      </c>
      <c r="K121" s="1" t="s">
        <v>59</v>
      </c>
      <c r="L121" s="1"/>
    </row>
    <row r="122" spans="1:12">
      <c r="A122" s="1" t="s">
        <v>3464</v>
      </c>
      <c r="B122" s="1" t="s">
        <v>518</v>
      </c>
      <c r="C122" s="1" t="s">
        <v>3310</v>
      </c>
      <c r="D122" s="1">
        <v>1</v>
      </c>
      <c r="E122" s="1"/>
      <c r="F122" s="1" t="s">
        <v>20</v>
      </c>
      <c r="G122" s="1"/>
      <c r="H122" s="1"/>
      <c r="I122" s="1"/>
      <c r="J122" s="1" t="s">
        <v>519</v>
      </c>
      <c r="K122" s="1" t="s">
        <v>59</v>
      </c>
      <c r="L122" s="1"/>
    </row>
    <row r="123" spans="1:12">
      <c r="A123" s="1" t="s">
        <v>3465</v>
      </c>
      <c r="B123" s="1" t="s">
        <v>521</v>
      </c>
      <c r="C123" s="1" t="s">
        <v>3310</v>
      </c>
      <c r="D123" s="1">
        <v>1</v>
      </c>
      <c r="E123" s="1"/>
      <c r="F123" s="1" t="s">
        <v>20</v>
      </c>
      <c r="G123" s="1"/>
      <c r="H123" s="1"/>
      <c r="I123" s="1"/>
      <c r="J123" s="1" t="s">
        <v>522</v>
      </c>
      <c r="K123" s="1" t="s">
        <v>59</v>
      </c>
      <c r="L123" s="1"/>
    </row>
    <row r="124" spans="1:12">
      <c r="A124" s="1" t="s">
        <v>3466</v>
      </c>
      <c r="B124" s="1" t="s">
        <v>524</v>
      </c>
      <c r="C124" s="1" t="s">
        <v>3310</v>
      </c>
      <c r="D124" s="1">
        <v>1</v>
      </c>
      <c r="E124" s="1"/>
      <c r="F124" s="1" t="s">
        <v>20</v>
      </c>
      <c r="G124" s="1"/>
      <c r="H124" s="1"/>
      <c r="I124" s="1"/>
      <c r="J124" s="1" t="s">
        <v>525</v>
      </c>
      <c r="K124" s="1" t="s">
        <v>59</v>
      </c>
      <c r="L124" s="1"/>
    </row>
    <row r="125" spans="1:12">
      <c r="A125" s="1" t="s">
        <v>3467</v>
      </c>
      <c r="B125" s="1" t="s">
        <v>527</v>
      </c>
      <c r="C125" s="1" t="s">
        <v>3310</v>
      </c>
      <c r="D125" s="1">
        <v>1</v>
      </c>
      <c r="E125" s="1"/>
      <c r="F125" s="1" t="s">
        <v>20</v>
      </c>
      <c r="G125" s="1"/>
      <c r="H125" s="1"/>
      <c r="I125" s="1"/>
      <c r="J125" s="1" t="s">
        <v>528</v>
      </c>
      <c r="K125" s="1" t="s">
        <v>59</v>
      </c>
      <c r="L125" s="1"/>
    </row>
    <row r="126" spans="1:12">
      <c r="A126" s="1" t="s">
        <v>3468</v>
      </c>
      <c r="B126" s="1" t="s">
        <v>530</v>
      </c>
      <c r="C126" s="1" t="s">
        <v>3310</v>
      </c>
      <c r="D126" s="1">
        <v>1</v>
      </c>
      <c r="E126" s="1"/>
      <c r="F126" s="1" t="s">
        <v>20</v>
      </c>
      <c r="G126" s="1"/>
      <c r="H126" s="1"/>
      <c r="I126" s="1"/>
      <c r="J126" s="1" t="s">
        <v>531</v>
      </c>
      <c r="K126" s="1" t="s">
        <v>59</v>
      </c>
      <c r="L126" s="1"/>
    </row>
    <row r="127" spans="1:12">
      <c r="A127" s="1" t="s">
        <v>3469</v>
      </c>
      <c r="B127" s="1" t="s">
        <v>533</v>
      </c>
      <c r="C127" s="1" t="s">
        <v>3310</v>
      </c>
      <c r="D127" s="1">
        <v>1</v>
      </c>
      <c r="E127" s="1"/>
      <c r="F127" s="1" t="s">
        <v>20</v>
      </c>
      <c r="G127" s="1"/>
      <c r="H127" s="1"/>
      <c r="I127" s="1"/>
      <c r="J127" s="1" t="s">
        <v>535</v>
      </c>
      <c r="K127" s="1" t="s">
        <v>59</v>
      </c>
      <c r="L127" s="1"/>
    </row>
    <row r="128" spans="1:12">
      <c r="A128" s="1" t="s">
        <v>3470</v>
      </c>
      <c r="B128" s="1" t="s">
        <v>537</v>
      </c>
      <c r="C128" s="1" t="s">
        <v>3310</v>
      </c>
      <c r="D128" s="1">
        <v>1</v>
      </c>
      <c r="E128" s="1"/>
      <c r="F128" s="1" t="s">
        <v>20</v>
      </c>
      <c r="G128" s="1"/>
      <c r="H128" s="1"/>
      <c r="I128" s="1"/>
      <c r="J128" s="1" t="s">
        <v>538</v>
      </c>
      <c r="K128" s="1" t="s">
        <v>59</v>
      </c>
      <c r="L128" s="1"/>
    </row>
    <row r="129" spans="1:12" ht="34.200000000000003">
      <c r="A129" s="1" t="s">
        <v>3471</v>
      </c>
      <c r="B129" s="1" t="s">
        <v>540</v>
      </c>
      <c r="C129" s="1" t="s">
        <v>3314</v>
      </c>
      <c r="D129" s="1">
        <v>3</v>
      </c>
      <c r="E129" s="1"/>
      <c r="F129" s="1" t="s">
        <v>20</v>
      </c>
      <c r="G129" s="1"/>
      <c r="H129" s="1"/>
      <c r="I129" s="1"/>
      <c r="J129" s="1" t="s">
        <v>3472</v>
      </c>
      <c r="K129" s="1" t="s">
        <v>59</v>
      </c>
      <c r="L129" s="1" t="s">
        <v>3317</v>
      </c>
    </row>
    <row r="130" spans="1:12">
      <c r="A130" s="1" t="s">
        <v>3473</v>
      </c>
      <c r="B130" s="1" t="s">
        <v>549</v>
      </c>
      <c r="C130" s="1" t="s">
        <v>3310</v>
      </c>
      <c r="D130" s="1">
        <v>1</v>
      </c>
      <c r="E130" s="1"/>
      <c r="F130" s="1" t="s">
        <v>20</v>
      </c>
      <c r="G130" s="1"/>
      <c r="H130" s="1"/>
      <c r="I130" s="1"/>
      <c r="J130" s="1" t="s">
        <v>551</v>
      </c>
      <c r="K130" s="1" t="s">
        <v>59</v>
      </c>
      <c r="L130" s="1"/>
    </row>
    <row r="131" spans="1:12">
      <c r="A131" s="1" t="s">
        <v>3474</v>
      </c>
      <c r="B131" s="1" t="s">
        <v>553</v>
      </c>
      <c r="C131" s="1" t="s">
        <v>3310</v>
      </c>
      <c r="D131" s="1">
        <v>1</v>
      </c>
      <c r="E131" s="1"/>
      <c r="F131" s="1" t="s">
        <v>20</v>
      </c>
      <c r="G131" s="1"/>
      <c r="H131" s="1"/>
      <c r="I131" s="1"/>
      <c r="J131" s="1" t="s">
        <v>554</v>
      </c>
      <c r="K131" s="1" t="s">
        <v>59</v>
      </c>
      <c r="L131" s="1"/>
    </row>
    <row r="132" spans="1:12" ht="22.8">
      <c r="A132" s="1" t="s">
        <v>3475</v>
      </c>
      <c r="B132" s="1" t="s">
        <v>556</v>
      </c>
      <c r="C132" s="1" t="s">
        <v>3320</v>
      </c>
      <c r="D132" s="1">
        <v>2</v>
      </c>
      <c r="E132" s="1"/>
      <c r="F132" s="1" t="s">
        <v>3315</v>
      </c>
      <c r="G132" s="1"/>
      <c r="H132" s="1"/>
      <c r="I132" s="1"/>
      <c r="J132" s="1" t="s">
        <v>3476</v>
      </c>
      <c r="K132" s="1" t="s">
        <v>59</v>
      </c>
      <c r="L132" s="1"/>
    </row>
    <row r="133" spans="1:12">
      <c r="A133" s="1" t="s">
        <v>3477</v>
      </c>
      <c r="B133" s="1" t="s">
        <v>559</v>
      </c>
      <c r="C133" s="1" t="s">
        <v>3310</v>
      </c>
      <c r="D133" s="1">
        <v>1</v>
      </c>
      <c r="E133" s="1"/>
      <c r="F133" s="1" t="s">
        <v>20</v>
      </c>
      <c r="G133" s="1"/>
      <c r="H133" s="1"/>
      <c r="I133" s="1"/>
      <c r="J133" s="1" t="s">
        <v>561</v>
      </c>
      <c r="K133" s="1" t="s">
        <v>59</v>
      </c>
      <c r="L133" s="1"/>
    </row>
    <row r="134" spans="1:12">
      <c r="A134" s="1" t="s">
        <v>3478</v>
      </c>
      <c r="B134" s="1" t="s">
        <v>563</v>
      </c>
      <c r="C134" s="1" t="s">
        <v>3310</v>
      </c>
      <c r="D134" s="1">
        <v>1</v>
      </c>
      <c r="E134" s="1"/>
      <c r="F134" s="1" t="s">
        <v>20</v>
      </c>
      <c r="G134" s="1"/>
      <c r="H134" s="1"/>
      <c r="I134" s="1"/>
      <c r="J134" s="1" t="s">
        <v>565</v>
      </c>
      <c r="K134" s="1" t="s">
        <v>59</v>
      </c>
      <c r="L134" s="1"/>
    </row>
    <row r="135" spans="1:12" ht="22.8">
      <c r="A135" s="1" t="s">
        <v>3479</v>
      </c>
      <c r="B135" s="1" t="s">
        <v>567</v>
      </c>
      <c r="C135" s="1" t="s">
        <v>3310</v>
      </c>
      <c r="D135" s="1">
        <v>1</v>
      </c>
      <c r="E135" s="1"/>
      <c r="F135" s="1" t="s">
        <v>20</v>
      </c>
      <c r="G135" s="1"/>
      <c r="H135" s="1"/>
      <c r="I135" s="1"/>
      <c r="J135" s="1" t="s">
        <v>3480</v>
      </c>
      <c r="K135" s="1" t="s">
        <v>59</v>
      </c>
      <c r="L135" s="1"/>
    </row>
    <row r="136" spans="1:12" ht="22.8">
      <c r="A136" s="1" t="s">
        <v>3481</v>
      </c>
      <c r="B136" s="1" t="s">
        <v>572</v>
      </c>
      <c r="C136" s="1" t="s">
        <v>3320</v>
      </c>
      <c r="D136" s="1">
        <v>2</v>
      </c>
      <c r="E136" s="1">
        <v>1</v>
      </c>
      <c r="F136" s="1" t="s">
        <v>3482</v>
      </c>
      <c r="G136" s="1"/>
      <c r="H136" s="1" t="s">
        <v>1123</v>
      </c>
      <c r="I136" s="1"/>
      <c r="J136" s="1" t="s">
        <v>3483</v>
      </c>
      <c r="K136" s="1" t="s">
        <v>59</v>
      </c>
      <c r="L136" s="1"/>
    </row>
    <row r="137" spans="1:12">
      <c r="A137" s="1" t="s">
        <v>3484</v>
      </c>
      <c r="B137" s="1" t="s">
        <v>576</v>
      </c>
      <c r="C137" s="1" t="s">
        <v>3310</v>
      </c>
      <c r="D137" s="1">
        <v>1</v>
      </c>
      <c r="E137" s="1"/>
      <c r="F137" s="1" t="s">
        <v>20</v>
      </c>
      <c r="G137" s="1"/>
      <c r="H137" s="1"/>
      <c r="I137" s="1"/>
      <c r="J137" s="1" t="s">
        <v>577</v>
      </c>
      <c r="K137" s="1" t="s">
        <v>59</v>
      </c>
      <c r="L137" s="1"/>
    </row>
    <row r="138" spans="1:12">
      <c r="A138" s="1" t="s">
        <v>3485</v>
      </c>
      <c r="B138" s="1" t="s">
        <v>579</v>
      </c>
      <c r="C138" s="1" t="s">
        <v>3310</v>
      </c>
      <c r="D138" s="1">
        <v>1</v>
      </c>
      <c r="E138" s="1"/>
      <c r="F138" s="1" t="s">
        <v>20</v>
      </c>
      <c r="G138" s="1"/>
      <c r="H138" s="1"/>
      <c r="I138" s="1"/>
      <c r="J138" s="1" t="s">
        <v>580</v>
      </c>
      <c r="K138" s="1" t="s">
        <v>59</v>
      </c>
      <c r="L138" s="1"/>
    </row>
    <row r="139" spans="1:12" ht="22.8">
      <c r="A139" s="1" t="s">
        <v>3486</v>
      </c>
      <c r="B139" s="1" t="s">
        <v>582</v>
      </c>
      <c r="C139" s="1" t="s">
        <v>3320</v>
      </c>
      <c r="D139" s="1">
        <v>2</v>
      </c>
      <c r="E139" s="1"/>
      <c r="F139" s="1" t="s">
        <v>20</v>
      </c>
      <c r="G139" s="1"/>
      <c r="H139" s="1"/>
      <c r="I139" s="1"/>
      <c r="J139" s="1" t="s">
        <v>3487</v>
      </c>
      <c r="K139" s="1" t="s">
        <v>59</v>
      </c>
      <c r="L139" s="1"/>
    </row>
    <row r="140" spans="1:12" ht="22.8">
      <c r="A140" s="1" t="s">
        <v>3488</v>
      </c>
      <c r="B140" s="1" t="s">
        <v>587</v>
      </c>
      <c r="C140" s="1" t="s">
        <v>3320</v>
      </c>
      <c r="D140" s="1">
        <v>2</v>
      </c>
      <c r="E140" s="1"/>
      <c r="F140" s="1" t="s">
        <v>3362</v>
      </c>
      <c r="G140" s="1"/>
      <c r="H140" s="1"/>
      <c r="I140" s="1"/>
      <c r="J140" s="1" t="s">
        <v>3489</v>
      </c>
      <c r="K140" s="1" t="s">
        <v>59</v>
      </c>
      <c r="L140" s="1"/>
    </row>
    <row r="141" spans="1:12">
      <c r="A141" s="1" t="s">
        <v>3490</v>
      </c>
      <c r="B141" s="1" t="s">
        <v>591</v>
      </c>
      <c r="C141" s="1" t="s">
        <v>3310</v>
      </c>
      <c r="D141" s="1">
        <v>1</v>
      </c>
      <c r="E141" s="1"/>
      <c r="F141" s="1" t="s">
        <v>20</v>
      </c>
      <c r="G141" s="1"/>
      <c r="H141" s="1"/>
      <c r="I141" s="1"/>
      <c r="J141" s="1" t="s">
        <v>592</v>
      </c>
      <c r="K141" s="1" t="s">
        <v>59</v>
      </c>
      <c r="L141" s="1"/>
    </row>
    <row r="142" spans="1:12">
      <c r="A142" s="1" t="s">
        <v>3491</v>
      </c>
      <c r="B142" s="1" t="s">
        <v>594</v>
      </c>
      <c r="C142" s="1" t="s">
        <v>3310</v>
      </c>
      <c r="D142" s="1">
        <v>1</v>
      </c>
      <c r="E142" s="1"/>
      <c r="F142" s="1" t="s">
        <v>20</v>
      </c>
      <c r="G142" s="1"/>
      <c r="H142" s="1"/>
      <c r="I142" s="1"/>
      <c r="J142" s="1" t="s">
        <v>595</v>
      </c>
      <c r="K142" s="1" t="s">
        <v>59</v>
      </c>
      <c r="L142" s="1"/>
    </row>
    <row r="143" spans="1:12">
      <c r="A143" s="1" t="s">
        <v>3492</v>
      </c>
      <c r="B143" s="1" t="s">
        <v>597</v>
      </c>
      <c r="C143" s="1" t="s">
        <v>3310</v>
      </c>
      <c r="D143" s="1">
        <v>1</v>
      </c>
      <c r="E143" s="1"/>
      <c r="F143" s="1" t="s">
        <v>20</v>
      </c>
      <c r="G143" s="1"/>
      <c r="H143" s="1"/>
      <c r="I143" s="1"/>
      <c r="J143" s="1" t="s">
        <v>598</v>
      </c>
      <c r="K143" s="1" t="s">
        <v>59</v>
      </c>
      <c r="L143" s="1"/>
    </row>
    <row r="144" spans="1:12" ht="22.8">
      <c r="A144" s="1" t="s">
        <v>3493</v>
      </c>
      <c r="B144" s="1" t="s">
        <v>600</v>
      </c>
      <c r="C144" s="1" t="s">
        <v>3320</v>
      </c>
      <c r="D144" s="1">
        <v>2</v>
      </c>
      <c r="E144" s="1"/>
      <c r="F144" s="1" t="s">
        <v>20</v>
      </c>
      <c r="G144" s="1"/>
      <c r="H144" s="1"/>
      <c r="I144" s="1"/>
      <c r="J144" s="1" t="s">
        <v>3494</v>
      </c>
      <c r="K144" s="1" t="s">
        <v>59</v>
      </c>
      <c r="L144" s="1"/>
    </row>
    <row r="145" spans="1:12">
      <c r="A145" s="1" t="s">
        <v>3495</v>
      </c>
      <c r="B145" s="1" t="s">
        <v>606</v>
      </c>
      <c r="C145" s="1" t="s">
        <v>3310</v>
      </c>
      <c r="D145" s="1">
        <v>1</v>
      </c>
      <c r="E145" s="1"/>
      <c r="F145" s="1" t="s">
        <v>20</v>
      </c>
      <c r="G145" s="1"/>
      <c r="H145" s="1"/>
      <c r="I145" s="1"/>
      <c r="J145" s="1" t="s">
        <v>607</v>
      </c>
      <c r="K145" s="1" t="s">
        <v>59</v>
      </c>
      <c r="L145" s="1"/>
    </row>
    <row r="146" spans="1:12">
      <c r="A146" s="1" t="s">
        <v>3496</v>
      </c>
      <c r="B146" s="1" t="s">
        <v>609</v>
      </c>
      <c r="C146" s="1" t="s">
        <v>3310</v>
      </c>
      <c r="D146" s="1">
        <v>1</v>
      </c>
      <c r="E146" s="1"/>
      <c r="F146" s="1" t="s">
        <v>20</v>
      </c>
      <c r="G146" s="1"/>
      <c r="H146" s="1"/>
      <c r="I146" s="1"/>
      <c r="J146" s="1" t="s">
        <v>610</v>
      </c>
      <c r="K146" s="1" t="s">
        <v>59</v>
      </c>
      <c r="L146" s="1"/>
    </row>
    <row r="147" spans="1:12" ht="102.6">
      <c r="A147" s="1" t="s">
        <v>3497</v>
      </c>
      <c r="B147" s="1" t="s">
        <v>612</v>
      </c>
      <c r="C147" s="1" t="s">
        <v>3310</v>
      </c>
      <c r="D147" s="1">
        <v>1</v>
      </c>
      <c r="E147" s="1"/>
      <c r="F147" s="1" t="s">
        <v>20</v>
      </c>
      <c r="G147" s="1" t="s">
        <v>614</v>
      </c>
      <c r="H147" s="1" t="s">
        <v>615</v>
      </c>
      <c r="I147" s="1"/>
      <c r="J147" s="1" t="s">
        <v>3498</v>
      </c>
      <c r="K147" s="1" t="s">
        <v>59</v>
      </c>
      <c r="L147" s="1"/>
    </row>
    <row r="148" spans="1:12">
      <c r="A148" s="1" t="s">
        <v>3499</v>
      </c>
      <c r="B148" s="1" t="s">
        <v>619</v>
      </c>
      <c r="C148" s="1" t="s">
        <v>3310</v>
      </c>
      <c r="D148" s="1">
        <v>1</v>
      </c>
      <c r="E148" s="1"/>
      <c r="F148" s="1" t="s">
        <v>20</v>
      </c>
      <c r="G148" s="1"/>
      <c r="H148" s="1"/>
      <c r="I148" s="1"/>
      <c r="J148" s="1" t="s">
        <v>621</v>
      </c>
      <c r="K148" s="1" t="s">
        <v>59</v>
      </c>
      <c r="L148" s="1"/>
    </row>
    <row r="149" spans="1:12">
      <c r="A149" s="1" t="s">
        <v>3500</v>
      </c>
      <c r="B149" s="1" t="s">
        <v>623</v>
      </c>
      <c r="C149" s="1" t="s">
        <v>3310</v>
      </c>
      <c r="D149" s="1">
        <v>1</v>
      </c>
      <c r="E149" s="1"/>
      <c r="F149" s="1" t="s">
        <v>20</v>
      </c>
      <c r="G149" s="1"/>
      <c r="H149" s="1"/>
      <c r="I149" s="1"/>
      <c r="J149" s="1" t="s">
        <v>624</v>
      </c>
      <c r="K149" s="1" t="s">
        <v>59</v>
      </c>
      <c r="L149" s="1"/>
    </row>
    <row r="150" spans="1:12">
      <c r="A150" s="1" t="s">
        <v>3501</v>
      </c>
      <c r="B150" s="1" t="s">
        <v>626</v>
      </c>
      <c r="C150" s="1" t="s">
        <v>3310</v>
      </c>
      <c r="D150" s="1">
        <v>1</v>
      </c>
      <c r="E150" s="1"/>
      <c r="F150" s="1" t="s">
        <v>20</v>
      </c>
      <c r="G150" s="1"/>
      <c r="H150" s="1"/>
      <c r="I150" s="1"/>
      <c r="J150" s="1" t="s">
        <v>627</v>
      </c>
      <c r="K150" s="1" t="s">
        <v>59</v>
      </c>
      <c r="L150" s="1"/>
    </row>
    <row r="151" spans="1:12">
      <c r="A151" s="1" t="s">
        <v>3502</v>
      </c>
      <c r="B151" s="1" t="s">
        <v>629</v>
      </c>
      <c r="C151" s="1" t="s">
        <v>3310</v>
      </c>
      <c r="D151" s="1">
        <v>1</v>
      </c>
      <c r="E151" s="1"/>
      <c r="F151" s="1" t="s">
        <v>20</v>
      </c>
      <c r="G151" s="1"/>
      <c r="H151" s="1"/>
      <c r="I151" s="1"/>
      <c r="J151" s="1" t="s">
        <v>630</v>
      </c>
      <c r="K151" s="1" t="s">
        <v>59</v>
      </c>
      <c r="L151" s="1"/>
    </row>
    <row r="152" spans="1:12">
      <c r="A152" s="1" t="s">
        <v>3503</v>
      </c>
      <c r="B152" s="1" t="s">
        <v>632</v>
      </c>
      <c r="C152" s="1" t="s">
        <v>3310</v>
      </c>
      <c r="D152" s="1">
        <v>1</v>
      </c>
      <c r="E152" s="1"/>
      <c r="F152" s="1" t="s">
        <v>20</v>
      </c>
      <c r="G152" s="1"/>
      <c r="H152" s="1"/>
      <c r="I152" s="1"/>
      <c r="J152" s="1" t="s">
        <v>633</v>
      </c>
      <c r="K152" s="1" t="s">
        <v>59</v>
      </c>
      <c r="L152" s="1"/>
    </row>
    <row r="153" spans="1:12">
      <c r="A153" s="1" t="s">
        <v>3504</v>
      </c>
      <c r="B153" s="1" t="s">
        <v>635</v>
      </c>
      <c r="C153" s="1" t="s">
        <v>3310</v>
      </c>
      <c r="D153" s="1">
        <v>1</v>
      </c>
      <c r="E153" s="1"/>
      <c r="F153" s="1" t="s">
        <v>20</v>
      </c>
      <c r="G153" s="1"/>
      <c r="H153" s="1"/>
      <c r="I153" s="1"/>
      <c r="J153" s="1" t="s">
        <v>637</v>
      </c>
      <c r="K153" s="1" t="s">
        <v>59</v>
      </c>
      <c r="L153" s="1"/>
    </row>
    <row r="154" spans="1:12">
      <c r="A154" s="1" t="s">
        <v>3505</v>
      </c>
      <c r="B154" s="1" t="s">
        <v>639</v>
      </c>
      <c r="C154" s="1" t="s">
        <v>3310</v>
      </c>
      <c r="D154" s="1">
        <v>1</v>
      </c>
      <c r="E154" s="1"/>
      <c r="F154" s="1" t="s">
        <v>20</v>
      </c>
      <c r="G154" s="1"/>
      <c r="H154" s="1"/>
      <c r="I154" s="1"/>
      <c r="J154" s="1" t="s">
        <v>640</v>
      </c>
      <c r="K154" s="1" t="s">
        <v>59</v>
      </c>
      <c r="L154" s="1"/>
    </row>
    <row r="155" spans="1:12">
      <c r="A155" s="1" t="s">
        <v>3506</v>
      </c>
      <c r="B155" s="1" t="s">
        <v>642</v>
      </c>
      <c r="C155" s="1" t="s">
        <v>3310</v>
      </c>
      <c r="D155" s="1">
        <v>1</v>
      </c>
      <c r="E155" s="1"/>
      <c r="F155" s="1" t="s">
        <v>20</v>
      </c>
      <c r="G155" s="1"/>
      <c r="H155" s="1"/>
      <c r="I155" s="1"/>
      <c r="J155" s="1" t="s">
        <v>643</v>
      </c>
      <c r="K155" s="1" t="s">
        <v>59</v>
      </c>
      <c r="L155" s="1"/>
    </row>
    <row r="156" spans="1:12" ht="34.200000000000003">
      <c r="A156" s="1" t="s">
        <v>3507</v>
      </c>
      <c r="B156" s="1" t="s">
        <v>645</v>
      </c>
      <c r="C156" s="1" t="s">
        <v>3320</v>
      </c>
      <c r="D156" s="1">
        <v>3</v>
      </c>
      <c r="E156" s="1"/>
      <c r="F156" s="1" t="s">
        <v>20</v>
      </c>
      <c r="G156" s="1"/>
      <c r="H156" s="1"/>
      <c r="I156" s="1"/>
      <c r="J156" s="1" t="s">
        <v>3508</v>
      </c>
      <c r="K156" s="1" t="s">
        <v>59</v>
      </c>
      <c r="L156" s="1"/>
    </row>
    <row r="157" spans="1:12">
      <c r="A157" s="1" t="s">
        <v>3509</v>
      </c>
      <c r="B157" s="1" t="s">
        <v>652</v>
      </c>
      <c r="C157" s="1" t="s">
        <v>3310</v>
      </c>
      <c r="D157" s="1">
        <v>1</v>
      </c>
      <c r="E157" s="1"/>
      <c r="F157" s="1" t="s">
        <v>20</v>
      </c>
      <c r="G157" s="1"/>
      <c r="H157" s="1"/>
      <c r="I157" s="1"/>
      <c r="J157" s="1" t="s">
        <v>654</v>
      </c>
      <c r="K157" s="1" t="s">
        <v>59</v>
      </c>
      <c r="L157" s="1"/>
    </row>
    <row r="158" spans="1:12">
      <c r="A158" s="1" t="s">
        <v>3510</v>
      </c>
      <c r="B158" s="1" t="s">
        <v>656</v>
      </c>
      <c r="C158" s="1" t="s">
        <v>3310</v>
      </c>
      <c r="D158" s="1">
        <v>1</v>
      </c>
      <c r="E158" s="1"/>
      <c r="F158" s="1" t="s">
        <v>20</v>
      </c>
      <c r="G158" s="1"/>
      <c r="H158" s="1"/>
      <c r="I158" s="1"/>
      <c r="J158" s="1" t="s">
        <v>657</v>
      </c>
      <c r="K158" s="1" t="s">
        <v>59</v>
      </c>
      <c r="L158" s="1"/>
    </row>
    <row r="159" spans="1:12">
      <c r="A159" s="1" t="s">
        <v>3511</v>
      </c>
      <c r="B159" s="1" t="s">
        <v>659</v>
      </c>
      <c r="C159" s="1" t="s">
        <v>3310</v>
      </c>
      <c r="D159" s="1">
        <v>1</v>
      </c>
      <c r="E159" s="1"/>
      <c r="F159" s="1" t="s">
        <v>20</v>
      </c>
      <c r="G159" s="1"/>
      <c r="H159" s="1"/>
      <c r="I159" s="1"/>
      <c r="J159" s="1" t="s">
        <v>661</v>
      </c>
      <c r="K159" s="1" t="s">
        <v>59</v>
      </c>
      <c r="L159" s="1"/>
    </row>
    <row r="160" spans="1:12">
      <c r="A160" s="1" t="s">
        <v>3512</v>
      </c>
      <c r="B160" s="1" t="s">
        <v>663</v>
      </c>
      <c r="C160" s="1" t="s">
        <v>3310</v>
      </c>
      <c r="D160" s="1">
        <v>1</v>
      </c>
      <c r="E160" s="1"/>
      <c r="F160" s="1" t="s">
        <v>20</v>
      </c>
      <c r="G160" s="1"/>
      <c r="H160" s="1"/>
      <c r="I160" s="1"/>
      <c r="J160" s="1" t="s">
        <v>664</v>
      </c>
      <c r="K160" s="1" t="s">
        <v>59</v>
      </c>
      <c r="L160" s="1"/>
    </row>
    <row r="161" spans="1:12">
      <c r="A161" s="1" t="s">
        <v>3513</v>
      </c>
      <c r="B161" s="1" t="s">
        <v>666</v>
      </c>
      <c r="C161" s="1" t="s">
        <v>3310</v>
      </c>
      <c r="D161" s="1">
        <v>1</v>
      </c>
      <c r="E161" s="1"/>
      <c r="F161" s="1" t="s">
        <v>20</v>
      </c>
      <c r="G161" s="1"/>
      <c r="H161" s="1"/>
      <c r="I161" s="1"/>
      <c r="J161" s="1" t="s">
        <v>667</v>
      </c>
      <c r="K161" s="1" t="s">
        <v>59</v>
      </c>
      <c r="L161" s="1"/>
    </row>
    <row r="162" spans="1:12">
      <c r="A162" s="1" t="s">
        <v>3514</v>
      </c>
      <c r="B162" s="1" t="s">
        <v>669</v>
      </c>
      <c r="C162" s="1" t="s">
        <v>3310</v>
      </c>
      <c r="D162" s="1">
        <v>1</v>
      </c>
      <c r="E162" s="1"/>
      <c r="F162" s="1" t="s">
        <v>20</v>
      </c>
      <c r="G162" s="1"/>
      <c r="H162" s="1"/>
      <c r="I162" s="1"/>
      <c r="J162" s="1" t="s">
        <v>670</v>
      </c>
      <c r="K162" s="1" t="s">
        <v>59</v>
      </c>
      <c r="L162" s="1"/>
    </row>
    <row r="163" spans="1:12">
      <c r="A163" s="1" t="s">
        <v>3515</v>
      </c>
      <c r="B163" s="1" t="s">
        <v>672</v>
      </c>
      <c r="C163" s="1" t="s">
        <v>3310</v>
      </c>
      <c r="D163" s="1">
        <v>1</v>
      </c>
      <c r="E163" s="1"/>
      <c r="F163" s="1" t="s">
        <v>20</v>
      </c>
      <c r="G163" s="1"/>
      <c r="H163" s="1"/>
      <c r="I163" s="1"/>
      <c r="J163" s="1" t="s">
        <v>673</v>
      </c>
      <c r="K163" s="1" t="s">
        <v>59</v>
      </c>
      <c r="L163" s="1"/>
    </row>
    <row r="164" spans="1:12">
      <c r="A164" s="1" t="s">
        <v>3516</v>
      </c>
      <c r="B164" s="1" t="s">
        <v>675</v>
      </c>
      <c r="C164" s="1" t="s">
        <v>3310</v>
      </c>
      <c r="D164" s="1">
        <v>1</v>
      </c>
      <c r="E164" s="1"/>
      <c r="F164" s="1" t="s">
        <v>20</v>
      </c>
      <c r="G164" s="1"/>
      <c r="H164" s="1"/>
      <c r="I164" s="1"/>
      <c r="J164" s="1" t="s">
        <v>676</v>
      </c>
      <c r="K164" s="1" t="s">
        <v>59</v>
      </c>
      <c r="L164" s="1"/>
    </row>
    <row r="165" spans="1:12" ht="228">
      <c r="A165" s="1" t="s">
        <v>3517</v>
      </c>
      <c r="B165" s="1" t="s">
        <v>678</v>
      </c>
      <c r="C165" s="1" t="s">
        <v>3320</v>
      </c>
      <c r="D165" s="1">
        <v>6</v>
      </c>
      <c r="E165" s="1">
        <v>1</v>
      </c>
      <c r="F165" s="1" t="s">
        <v>3518</v>
      </c>
      <c r="G165" s="1" t="s">
        <v>1218</v>
      </c>
      <c r="H165" s="1" t="s">
        <v>3519</v>
      </c>
      <c r="I165" s="1"/>
      <c r="J165" s="1" t="s">
        <v>3520</v>
      </c>
      <c r="K165" s="1" t="s">
        <v>59</v>
      </c>
      <c r="L165" s="1"/>
    </row>
    <row r="166" spans="1:12" ht="102.6">
      <c r="A166" s="1" t="s">
        <v>3521</v>
      </c>
      <c r="B166" s="1" t="s">
        <v>685</v>
      </c>
      <c r="C166" s="1" t="s">
        <v>3314</v>
      </c>
      <c r="D166" s="1">
        <v>2</v>
      </c>
      <c r="E166" s="1"/>
      <c r="F166" s="1" t="s">
        <v>3362</v>
      </c>
      <c r="G166" s="1" t="s">
        <v>1218</v>
      </c>
      <c r="H166" s="1" t="s">
        <v>1072</v>
      </c>
      <c r="I166" s="1"/>
      <c r="J166" s="1" t="s">
        <v>3522</v>
      </c>
      <c r="K166" s="1" t="s">
        <v>59</v>
      </c>
      <c r="L166" s="1" t="s">
        <v>3317</v>
      </c>
    </row>
    <row r="167" spans="1:12">
      <c r="A167" s="1" t="s">
        <v>3523</v>
      </c>
      <c r="B167" s="1" t="s">
        <v>689</v>
      </c>
      <c r="C167" s="1" t="s">
        <v>3310</v>
      </c>
      <c r="D167" s="1">
        <v>1</v>
      </c>
      <c r="E167" s="1"/>
      <c r="F167" s="1" t="s">
        <v>20</v>
      </c>
      <c r="G167" s="1"/>
      <c r="H167" s="1"/>
      <c r="I167" s="1"/>
      <c r="J167" s="1" t="s">
        <v>690</v>
      </c>
      <c r="K167" s="1" t="s">
        <v>59</v>
      </c>
      <c r="L167" s="1"/>
    </row>
    <row r="168" spans="1:12">
      <c r="A168" s="1" t="s">
        <v>3524</v>
      </c>
      <c r="B168" s="1" t="s">
        <v>692</v>
      </c>
      <c r="C168" s="1" t="s">
        <v>3310</v>
      </c>
      <c r="D168" s="1">
        <v>1</v>
      </c>
      <c r="E168" s="1"/>
      <c r="F168" s="1" t="s">
        <v>20</v>
      </c>
      <c r="G168" s="1"/>
      <c r="H168" s="1"/>
      <c r="I168" s="1"/>
      <c r="J168" s="1" t="s">
        <v>693</v>
      </c>
      <c r="K168" s="1" t="s">
        <v>59</v>
      </c>
      <c r="L168" s="1"/>
    </row>
    <row r="169" spans="1:12">
      <c r="A169" s="1" t="s">
        <v>3525</v>
      </c>
      <c r="B169" s="1" t="s">
        <v>695</v>
      </c>
      <c r="C169" s="1" t="s">
        <v>3310</v>
      </c>
      <c r="D169" s="1">
        <v>1</v>
      </c>
      <c r="E169" s="1"/>
      <c r="F169" s="1" t="s">
        <v>20</v>
      </c>
      <c r="G169" s="1"/>
      <c r="H169" s="1"/>
      <c r="I169" s="1"/>
      <c r="J169" s="1" t="s">
        <v>697</v>
      </c>
      <c r="K169" s="1" t="s">
        <v>59</v>
      </c>
      <c r="L169" s="1"/>
    </row>
    <row r="170" spans="1:12">
      <c r="A170" s="1" t="s">
        <v>3526</v>
      </c>
      <c r="B170" s="1" t="s">
        <v>699</v>
      </c>
      <c r="C170" s="1" t="s">
        <v>3310</v>
      </c>
      <c r="D170" s="1">
        <v>1</v>
      </c>
      <c r="E170" s="1"/>
      <c r="F170" s="1" t="s">
        <v>20</v>
      </c>
      <c r="G170" s="1"/>
      <c r="H170" s="1"/>
      <c r="I170" s="1"/>
      <c r="J170" s="1" t="s">
        <v>700</v>
      </c>
      <c r="K170" s="1" t="s">
        <v>59</v>
      </c>
      <c r="L170" s="1"/>
    </row>
    <row r="171" spans="1:12">
      <c r="A171" s="1" t="s">
        <v>3527</v>
      </c>
      <c r="B171" s="1" t="s">
        <v>702</v>
      </c>
      <c r="C171" s="1" t="s">
        <v>3310</v>
      </c>
      <c r="D171" s="1">
        <v>1</v>
      </c>
      <c r="E171" s="1"/>
      <c r="F171" s="1" t="s">
        <v>20</v>
      </c>
      <c r="G171" s="1"/>
      <c r="H171" s="1"/>
      <c r="I171" s="1"/>
      <c r="J171" s="1" t="s">
        <v>703</v>
      </c>
      <c r="K171" s="1" t="s">
        <v>59</v>
      </c>
      <c r="L171" s="1"/>
    </row>
    <row r="172" spans="1:12">
      <c r="A172" s="1" t="s">
        <v>3528</v>
      </c>
      <c r="B172" s="1" t="s">
        <v>705</v>
      </c>
      <c r="C172" s="1" t="s">
        <v>3310</v>
      </c>
      <c r="D172" s="1">
        <v>1</v>
      </c>
      <c r="E172" s="1"/>
      <c r="F172" s="1" t="s">
        <v>20</v>
      </c>
      <c r="G172" s="1"/>
      <c r="H172" s="1"/>
      <c r="I172" s="1"/>
      <c r="J172" s="1" t="s">
        <v>706</v>
      </c>
      <c r="K172" s="1" t="s">
        <v>59</v>
      </c>
      <c r="L172" s="1"/>
    </row>
    <row r="173" spans="1:12">
      <c r="A173" s="1" t="s">
        <v>3529</v>
      </c>
      <c r="B173" s="1" t="s">
        <v>708</v>
      </c>
      <c r="C173" s="1" t="s">
        <v>3310</v>
      </c>
      <c r="D173" s="1">
        <v>1</v>
      </c>
      <c r="E173" s="1"/>
      <c r="F173" s="1" t="s">
        <v>20</v>
      </c>
      <c r="G173" s="1"/>
      <c r="H173" s="1"/>
      <c r="I173" s="1"/>
      <c r="J173" s="1" t="s">
        <v>709</v>
      </c>
      <c r="K173" s="1" t="s">
        <v>59</v>
      </c>
      <c r="L173" s="1"/>
    </row>
    <row r="174" spans="1:12">
      <c r="A174" s="1" t="s">
        <v>3530</v>
      </c>
      <c r="B174" s="1" t="s">
        <v>711</v>
      </c>
      <c r="C174" s="1" t="s">
        <v>3310</v>
      </c>
      <c r="D174" s="1">
        <v>1</v>
      </c>
      <c r="E174" s="1"/>
      <c r="F174" s="1" t="s">
        <v>20</v>
      </c>
      <c r="G174" s="1"/>
      <c r="H174" s="1"/>
      <c r="I174" s="1"/>
      <c r="J174" s="1" t="s">
        <v>712</v>
      </c>
      <c r="K174" s="1" t="s">
        <v>59</v>
      </c>
      <c r="L174" s="1"/>
    </row>
    <row r="175" spans="1:12">
      <c r="A175" s="1" t="s">
        <v>3531</v>
      </c>
      <c r="B175" s="1" t="s">
        <v>714</v>
      </c>
      <c r="C175" s="1" t="s">
        <v>3310</v>
      </c>
      <c r="D175" s="1">
        <v>1</v>
      </c>
      <c r="E175" s="1"/>
      <c r="F175" s="1" t="s">
        <v>20</v>
      </c>
      <c r="G175" s="1"/>
      <c r="H175" s="1"/>
      <c r="I175" s="1"/>
      <c r="J175" s="1" t="s">
        <v>715</v>
      </c>
      <c r="K175" s="1" t="s">
        <v>59</v>
      </c>
      <c r="L175" s="1"/>
    </row>
    <row r="176" spans="1:12">
      <c r="A176" s="1" t="s">
        <v>3532</v>
      </c>
      <c r="B176" s="1" t="s">
        <v>717</v>
      </c>
      <c r="C176" s="1" t="s">
        <v>3310</v>
      </c>
      <c r="D176" s="1">
        <v>1</v>
      </c>
      <c r="E176" s="1"/>
      <c r="F176" s="1" t="s">
        <v>20</v>
      </c>
      <c r="G176" s="1"/>
      <c r="H176" s="1"/>
      <c r="I176" s="1"/>
      <c r="J176" s="1" t="s">
        <v>718</v>
      </c>
      <c r="K176" s="1" t="s">
        <v>59</v>
      </c>
      <c r="L176" s="1"/>
    </row>
    <row r="177" spans="1:12">
      <c r="A177" s="1" t="s">
        <v>3533</v>
      </c>
      <c r="B177" s="1" t="s">
        <v>720</v>
      </c>
      <c r="C177" s="1" t="s">
        <v>3310</v>
      </c>
      <c r="D177" s="1">
        <v>1</v>
      </c>
      <c r="E177" s="1"/>
      <c r="F177" s="1" t="s">
        <v>20</v>
      </c>
      <c r="G177" s="1"/>
      <c r="H177" s="1"/>
      <c r="I177" s="1"/>
      <c r="J177" s="1" t="s">
        <v>721</v>
      </c>
      <c r="K177" s="1" t="s">
        <v>59</v>
      </c>
      <c r="L177" s="1"/>
    </row>
    <row r="178" spans="1:12">
      <c r="A178" s="1" t="s">
        <v>3534</v>
      </c>
      <c r="B178" s="1" t="s">
        <v>723</v>
      </c>
      <c r="C178" s="1" t="s">
        <v>3310</v>
      </c>
      <c r="D178" s="1">
        <v>1</v>
      </c>
      <c r="E178" s="1"/>
      <c r="F178" s="1" t="s">
        <v>20</v>
      </c>
      <c r="G178" s="1"/>
      <c r="H178" s="1"/>
      <c r="I178" s="1"/>
      <c r="J178" s="1" t="s">
        <v>724</v>
      </c>
      <c r="K178" s="1" t="s">
        <v>59</v>
      </c>
      <c r="L178" s="1"/>
    </row>
    <row r="179" spans="1:12" ht="114">
      <c r="A179" s="1" t="s">
        <v>3535</v>
      </c>
      <c r="B179" s="1" t="s">
        <v>726</v>
      </c>
      <c r="C179" s="1" t="s">
        <v>3320</v>
      </c>
      <c r="D179" s="1">
        <v>3</v>
      </c>
      <c r="E179" s="1"/>
      <c r="F179" s="1" t="s">
        <v>3362</v>
      </c>
      <c r="G179" s="1" t="s">
        <v>614</v>
      </c>
      <c r="H179" s="1" t="s">
        <v>2802</v>
      </c>
      <c r="I179" s="1"/>
      <c r="J179" s="1" t="s">
        <v>3536</v>
      </c>
      <c r="K179" s="1" t="s">
        <v>59</v>
      </c>
      <c r="L179" s="1"/>
    </row>
    <row r="180" spans="1:12">
      <c r="A180" s="1" t="s">
        <v>3537</v>
      </c>
      <c r="B180" s="1" t="s">
        <v>731</v>
      </c>
      <c r="C180" s="1" t="s">
        <v>3310</v>
      </c>
      <c r="D180" s="1">
        <v>1</v>
      </c>
      <c r="E180" s="1"/>
      <c r="F180" s="1" t="s">
        <v>20</v>
      </c>
      <c r="G180" s="1"/>
      <c r="H180" s="1"/>
      <c r="I180" s="1"/>
      <c r="J180" s="1" t="s">
        <v>733</v>
      </c>
      <c r="K180" s="1" t="s">
        <v>59</v>
      </c>
      <c r="L180" s="1"/>
    </row>
    <row r="181" spans="1:12">
      <c r="A181" s="1" t="s">
        <v>3538</v>
      </c>
      <c r="B181" s="1" t="s">
        <v>735</v>
      </c>
      <c r="C181" s="1" t="s">
        <v>3310</v>
      </c>
      <c r="D181" s="1">
        <v>1</v>
      </c>
      <c r="E181" s="1"/>
      <c r="F181" s="1" t="s">
        <v>20</v>
      </c>
      <c r="G181" s="1"/>
      <c r="H181" s="1"/>
      <c r="I181" s="1"/>
      <c r="J181" s="1" t="s">
        <v>736</v>
      </c>
      <c r="K181" s="1" t="s">
        <v>59</v>
      </c>
      <c r="L181" s="1"/>
    </row>
    <row r="182" spans="1:12">
      <c r="A182" s="1" t="s">
        <v>3539</v>
      </c>
      <c r="B182" s="1" t="s">
        <v>738</v>
      </c>
      <c r="C182" s="1" t="s">
        <v>3310</v>
      </c>
      <c r="D182" s="1">
        <v>1</v>
      </c>
      <c r="E182" s="1"/>
      <c r="F182" s="1" t="s">
        <v>20</v>
      </c>
      <c r="G182" s="1"/>
      <c r="H182" s="1"/>
      <c r="I182" s="1"/>
      <c r="J182" s="1" t="s">
        <v>739</v>
      </c>
      <c r="K182" s="1" t="s">
        <v>59</v>
      </c>
      <c r="L182" s="1"/>
    </row>
    <row r="183" spans="1:12">
      <c r="A183" s="1" t="s">
        <v>3540</v>
      </c>
      <c r="B183" s="1" t="s">
        <v>741</v>
      </c>
      <c r="C183" s="1" t="s">
        <v>3310</v>
      </c>
      <c r="D183" s="1">
        <v>1</v>
      </c>
      <c r="E183" s="1"/>
      <c r="F183" s="1" t="s">
        <v>20</v>
      </c>
      <c r="G183" s="1"/>
      <c r="H183" s="1"/>
      <c r="I183" s="1"/>
      <c r="J183" s="1" t="s">
        <v>742</v>
      </c>
      <c r="K183" s="1" t="s">
        <v>59</v>
      </c>
      <c r="L183" s="1"/>
    </row>
    <row r="184" spans="1:12">
      <c r="A184" s="1" t="s">
        <v>3541</v>
      </c>
      <c r="B184" s="1" t="s">
        <v>744</v>
      </c>
      <c r="C184" s="1" t="s">
        <v>3310</v>
      </c>
      <c r="D184" s="1">
        <v>1</v>
      </c>
      <c r="E184" s="1"/>
      <c r="F184" s="1" t="s">
        <v>20</v>
      </c>
      <c r="G184" s="1"/>
      <c r="H184" s="1"/>
      <c r="I184" s="1"/>
      <c r="J184" s="1" t="s">
        <v>745</v>
      </c>
      <c r="K184" s="1" t="s">
        <v>59</v>
      </c>
      <c r="L184" s="1"/>
    </row>
    <row r="185" spans="1:12">
      <c r="A185" s="1" t="s">
        <v>3542</v>
      </c>
      <c r="B185" s="1" t="s">
        <v>747</v>
      </c>
      <c r="C185" s="1" t="s">
        <v>3310</v>
      </c>
      <c r="D185" s="1">
        <v>1</v>
      </c>
      <c r="E185" s="1"/>
      <c r="F185" s="1" t="s">
        <v>20</v>
      </c>
      <c r="G185" s="1"/>
      <c r="H185" s="1"/>
      <c r="I185" s="1"/>
      <c r="J185" s="1" t="s">
        <v>748</v>
      </c>
      <c r="K185" s="1" t="s">
        <v>59</v>
      </c>
      <c r="L185" s="1"/>
    </row>
    <row r="186" spans="1:12">
      <c r="A186" s="1" t="s">
        <v>3543</v>
      </c>
      <c r="B186" s="1" t="s">
        <v>750</v>
      </c>
      <c r="C186" s="1" t="s">
        <v>3310</v>
      </c>
      <c r="D186" s="1">
        <v>1</v>
      </c>
      <c r="E186" s="1"/>
      <c r="F186" s="1" t="s">
        <v>20</v>
      </c>
      <c r="G186" s="1"/>
      <c r="H186" s="1"/>
      <c r="I186" s="1"/>
      <c r="J186" s="1" t="s">
        <v>751</v>
      </c>
      <c r="K186" s="1" t="s">
        <v>59</v>
      </c>
      <c r="L186" s="1"/>
    </row>
    <row r="187" spans="1:12">
      <c r="A187" s="1" t="s">
        <v>3544</v>
      </c>
      <c r="B187" s="1" t="s">
        <v>753</v>
      </c>
      <c r="C187" s="1" t="s">
        <v>3310</v>
      </c>
      <c r="D187" s="1">
        <v>1</v>
      </c>
      <c r="E187" s="1"/>
      <c r="F187" s="1" t="s">
        <v>20</v>
      </c>
      <c r="G187" s="1"/>
      <c r="H187" s="1"/>
      <c r="I187" s="1"/>
      <c r="J187" s="1" t="s">
        <v>754</v>
      </c>
      <c r="K187" s="1" t="s">
        <v>59</v>
      </c>
      <c r="L187" s="1"/>
    </row>
    <row r="188" spans="1:12">
      <c r="A188" s="1" t="s">
        <v>3545</v>
      </c>
      <c r="B188" s="1" t="s">
        <v>756</v>
      </c>
      <c r="C188" s="1" t="s">
        <v>3310</v>
      </c>
      <c r="D188" s="1">
        <v>1</v>
      </c>
      <c r="E188" s="1"/>
      <c r="F188" s="1" t="s">
        <v>20</v>
      </c>
      <c r="G188" s="1"/>
      <c r="H188" s="1"/>
      <c r="I188" s="1"/>
      <c r="J188" s="1" t="s">
        <v>757</v>
      </c>
      <c r="K188" s="1" t="s">
        <v>59</v>
      </c>
      <c r="L188" s="1"/>
    </row>
    <row r="189" spans="1:12">
      <c r="A189" s="1" t="s">
        <v>3546</v>
      </c>
      <c r="B189" s="1" t="s">
        <v>759</v>
      </c>
      <c r="C189" s="1" t="s">
        <v>3310</v>
      </c>
      <c r="D189" s="1">
        <v>1</v>
      </c>
      <c r="E189" s="1"/>
      <c r="F189" s="1" t="s">
        <v>20</v>
      </c>
      <c r="G189" s="1"/>
      <c r="H189" s="1"/>
      <c r="I189" s="1"/>
      <c r="J189" s="1" t="s">
        <v>760</v>
      </c>
      <c r="K189" s="1" t="s">
        <v>59</v>
      </c>
      <c r="L189" s="1"/>
    </row>
    <row r="190" spans="1:12" ht="22.8">
      <c r="A190" s="1" t="s">
        <v>3547</v>
      </c>
      <c r="B190" s="1" t="s">
        <v>762</v>
      </c>
      <c r="C190" s="1" t="s">
        <v>3320</v>
      </c>
      <c r="D190" s="1">
        <v>2</v>
      </c>
      <c r="E190" s="1"/>
      <c r="F190" s="1" t="s">
        <v>3315</v>
      </c>
      <c r="G190" s="1"/>
      <c r="H190" s="1"/>
      <c r="I190" s="1"/>
      <c r="J190" s="1" t="s">
        <v>3548</v>
      </c>
      <c r="K190" s="1" t="s">
        <v>59</v>
      </c>
      <c r="L190" s="1"/>
    </row>
    <row r="191" spans="1:12">
      <c r="A191" s="1" t="s">
        <v>3549</v>
      </c>
      <c r="B191" s="1" t="s">
        <v>765</v>
      </c>
      <c r="C191" s="1" t="s">
        <v>3310</v>
      </c>
      <c r="D191" s="1">
        <v>1</v>
      </c>
      <c r="E191" s="1"/>
      <c r="F191" s="1" t="s">
        <v>20</v>
      </c>
      <c r="G191" s="1"/>
      <c r="H191" s="1"/>
      <c r="I191" s="1"/>
      <c r="J191" s="1" t="s">
        <v>767</v>
      </c>
      <c r="K191" s="1" t="s">
        <v>59</v>
      </c>
      <c r="L191" s="1"/>
    </row>
    <row r="192" spans="1:12">
      <c r="A192" s="1" t="s">
        <v>3550</v>
      </c>
      <c r="B192" s="1" t="s">
        <v>769</v>
      </c>
      <c r="C192" s="1" t="s">
        <v>3310</v>
      </c>
      <c r="D192" s="1">
        <v>1</v>
      </c>
      <c r="E192" s="1"/>
      <c r="F192" s="1" t="s">
        <v>20</v>
      </c>
      <c r="G192" s="1"/>
      <c r="H192" s="1"/>
      <c r="I192" s="1"/>
      <c r="J192" s="1" t="s">
        <v>770</v>
      </c>
      <c r="K192" s="1" t="s">
        <v>59</v>
      </c>
      <c r="L192" s="1"/>
    </row>
    <row r="193" spans="1:12">
      <c r="A193" s="1" t="s">
        <v>3551</v>
      </c>
      <c r="B193" s="1" t="s">
        <v>772</v>
      </c>
      <c r="C193" s="1" t="s">
        <v>3310</v>
      </c>
      <c r="D193" s="1">
        <v>1</v>
      </c>
      <c r="E193" s="1"/>
      <c r="F193" s="1" t="s">
        <v>20</v>
      </c>
      <c r="G193" s="1"/>
      <c r="H193" s="1"/>
      <c r="I193" s="1"/>
      <c r="J193" s="1" t="s">
        <v>773</v>
      </c>
      <c r="K193" s="1" t="s">
        <v>59</v>
      </c>
      <c r="L193" s="1"/>
    </row>
    <row r="194" spans="1:12">
      <c r="A194" s="1" t="s">
        <v>3552</v>
      </c>
      <c r="B194" s="1" t="s">
        <v>775</v>
      </c>
      <c r="C194" s="1" t="s">
        <v>3310</v>
      </c>
      <c r="D194" s="1">
        <v>1</v>
      </c>
      <c r="E194" s="1"/>
      <c r="F194" s="1" t="s">
        <v>20</v>
      </c>
      <c r="G194" s="1"/>
      <c r="H194" s="1"/>
      <c r="I194" s="1"/>
      <c r="J194" s="1" t="s">
        <v>776</v>
      </c>
      <c r="K194" s="1" t="s">
        <v>59</v>
      </c>
      <c r="L194" s="1"/>
    </row>
    <row r="195" spans="1:12">
      <c r="A195" s="1" t="s">
        <v>3553</v>
      </c>
      <c r="B195" s="1" t="s">
        <v>778</v>
      </c>
      <c r="C195" s="1" t="s">
        <v>3310</v>
      </c>
      <c r="D195" s="1">
        <v>1</v>
      </c>
      <c r="E195" s="1"/>
      <c r="F195" s="1" t="s">
        <v>20</v>
      </c>
      <c r="G195" s="1"/>
      <c r="H195" s="1"/>
      <c r="I195" s="1"/>
      <c r="J195" s="1" t="s">
        <v>779</v>
      </c>
      <c r="K195" s="1" t="s">
        <v>59</v>
      </c>
      <c r="L195" s="1"/>
    </row>
    <row r="196" spans="1:12">
      <c r="A196" s="1" t="s">
        <v>3554</v>
      </c>
      <c r="B196" s="1" t="s">
        <v>781</v>
      </c>
      <c r="C196" s="1" t="s">
        <v>3310</v>
      </c>
      <c r="D196" s="1">
        <v>1</v>
      </c>
      <c r="E196" s="1"/>
      <c r="F196" s="1" t="s">
        <v>20</v>
      </c>
      <c r="G196" s="1"/>
      <c r="H196" s="1"/>
      <c r="I196" s="1"/>
      <c r="J196" s="1" t="s">
        <v>782</v>
      </c>
      <c r="K196" s="1" t="s">
        <v>59</v>
      </c>
      <c r="L196" s="1"/>
    </row>
    <row r="197" spans="1:12">
      <c r="A197" s="1" t="s">
        <v>3555</v>
      </c>
      <c r="B197" s="1" t="s">
        <v>784</v>
      </c>
      <c r="C197" s="1" t="s">
        <v>3310</v>
      </c>
      <c r="D197" s="1">
        <v>1</v>
      </c>
      <c r="E197" s="1"/>
      <c r="F197" s="1" t="s">
        <v>20</v>
      </c>
      <c r="G197" s="1"/>
      <c r="H197" s="1"/>
      <c r="I197" s="1"/>
      <c r="J197" s="1" t="s">
        <v>785</v>
      </c>
      <c r="K197" s="1" t="s">
        <v>59</v>
      </c>
      <c r="L197" s="1"/>
    </row>
    <row r="198" spans="1:12" ht="22.8">
      <c r="A198" s="1" t="s">
        <v>3556</v>
      </c>
      <c r="B198" s="1" t="s">
        <v>787</v>
      </c>
      <c r="C198" s="1" t="s">
        <v>3320</v>
      </c>
      <c r="D198" s="1">
        <v>2</v>
      </c>
      <c r="E198" s="1">
        <v>1</v>
      </c>
      <c r="F198" s="1" t="s">
        <v>3482</v>
      </c>
      <c r="G198" s="1"/>
      <c r="H198" s="1" t="s">
        <v>1146</v>
      </c>
      <c r="I198" s="1"/>
      <c r="J198" s="1" t="s">
        <v>3557</v>
      </c>
      <c r="K198" s="1" t="s">
        <v>59</v>
      </c>
      <c r="L198" s="1"/>
    </row>
    <row r="199" spans="1:12">
      <c r="A199" s="1" t="s">
        <v>3558</v>
      </c>
      <c r="B199" s="1" t="s">
        <v>790</v>
      </c>
      <c r="C199" s="1" t="s">
        <v>3310</v>
      </c>
      <c r="D199" s="1">
        <v>1</v>
      </c>
      <c r="E199" s="1"/>
      <c r="F199" s="1" t="s">
        <v>20</v>
      </c>
      <c r="G199" s="1"/>
      <c r="H199" s="1"/>
      <c r="I199" s="1"/>
      <c r="J199" s="1" t="s">
        <v>791</v>
      </c>
      <c r="K199" s="1" t="s">
        <v>59</v>
      </c>
      <c r="L199" s="1"/>
    </row>
    <row r="200" spans="1:12">
      <c r="A200" s="1" t="s">
        <v>3559</v>
      </c>
      <c r="B200" s="1" t="s">
        <v>793</v>
      </c>
      <c r="C200" s="1" t="s">
        <v>3310</v>
      </c>
      <c r="D200" s="1">
        <v>1</v>
      </c>
      <c r="E200" s="1"/>
      <c r="F200" s="1" t="s">
        <v>20</v>
      </c>
      <c r="G200" s="1"/>
      <c r="H200" s="1"/>
      <c r="I200" s="1"/>
      <c r="J200" s="1" t="s">
        <v>794</v>
      </c>
      <c r="K200" s="1" t="s">
        <v>59</v>
      </c>
      <c r="L200" s="1"/>
    </row>
    <row r="201" spans="1:12">
      <c r="A201" s="1" t="s">
        <v>3560</v>
      </c>
      <c r="B201" s="1" t="s">
        <v>796</v>
      </c>
      <c r="C201" s="1" t="s">
        <v>3310</v>
      </c>
      <c r="D201" s="1">
        <v>1</v>
      </c>
      <c r="E201" s="1"/>
      <c r="F201" s="1" t="s">
        <v>20</v>
      </c>
      <c r="G201" s="1"/>
      <c r="H201" s="1"/>
      <c r="I201" s="1"/>
      <c r="J201" s="1" t="s">
        <v>797</v>
      </c>
      <c r="K201" s="1" t="s">
        <v>59</v>
      </c>
      <c r="L201" s="1"/>
    </row>
    <row r="202" spans="1:12" ht="22.8">
      <c r="A202" s="1" t="s">
        <v>3561</v>
      </c>
      <c r="B202" s="1" t="s">
        <v>799</v>
      </c>
      <c r="C202" s="1" t="s">
        <v>3320</v>
      </c>
      <c r="D202" s="1">
        <v>2</v>
      </c>
      <c r="E202" s="1"/>
      <c r="F202" s="1" t="s">
        <v>20</v>
      </c>
      <c r="G202" s="1"/>
      <c r="H202" s="1"/>
      <c r="I202" s="1"/>
      <c r="J202" s="1" t="s">
        <v>3562</v>
      </c>
      <c r="K202" s="1" t="s">
        <v>59</v>
      </c>
      <c r="L202" s="1"/>
    </row>
    <row r="203" spans="1:12">
      <c r="A203" s="1" t="s">
        <v>3563</v>
      </c>
      <c r="B203" s="1" t="s">
        <v>804</v>
      </c>
      <c r="C203" s="1" t="s">
        <v>3310</v>
      </c>
      <c r="D203" s="1">
        <v>1</v>
      </c>
      <c r="E203" s="1"/>
      <c r="F203" s="1" t="s">
        <v>20</v>
      </c>
      <c r="G203" s="1"/>
      <c r="H203" s="1"/>
      <c r="I203" s="1"/>
      <c r="J203" s="1" t="s">
        <v>806</v>
      </c>
      <c r="K203" s="1" t="s">
        <v>59</v>
      </c>
      <c r="L203" s="1"/>
    </row>
    <row r="204" spans="1:12" ht="193.8">
      <c r="A204" s="1" t="s">
        <v>3564</v>
      </c>
      <c r="B204" s="1" t="s">
        <v>809</v>
      </c>
      <c r="C204" s="1" t="s">
        <v>3320</v>
      </c>
      <c r="D204" s="1">
        <v>2</v>
      </c>
      <c r="E204" s="1">
        <v>2</v>
      </c>
      <c r="F204" s="1" t="s">
        <v>3315</v>
      </c>
      <c r="G204" s="1" t="s">
        <v>3565</v>
      </c>
      <c r="H204" s="1" t="s">
        <v>3566</v>
      </c>
      <c r="I204" s="1" t="s">
        <v>3567</v>
      </c>
      <c r="J204" s="1" t="s">
        <v>3568</v>
      </c>
      <c r="K204" s="1" t="s">
        <v>59</v>
      </c>
      <c r="L204" s="1"/>
    </row>
    <row r="205" spans="1:12">
      <c r="A205" s="1" t="s">
        <v>3569</v>
      </c>
      <c r="B205" s="1" t="s">
        <v>818</v>
      </c>
      <c r="C205" s="1" t="s">
        <v>3310</v>
      </c>
      <c r="D205" s="1">
        <v>1</v>
      </c>
      <c r="E205" s="1"/>
      <c r="F205" s="1" t="s">
        <v>20</v>
      </c>
      <c r="G205" s="1"/>
      <c r="H205" s="1"/>
      <c r="I205" s="1"/>
      <c r="J205" s="1" t="s">
        <v>819</v>
      </c>
      <c r="K205" s="1" t="s">
        <v>59</v>
      </c>
      <c r="L205" s="1"/>
    </row>
    <row r="206" spans="1:12" ht="34.200000000000003">
      <c r="A206" s="1" t="s">
        <v>3570</v>
      </c>
      <c r="B206" s="1" t="s">
        <v>821</v>
      </c>
      <c r="C206" s="1" t="s">
        <v>3320</v>
      </c>
      <c r="D206" s="1">
        <v>3</v>
      </c>
      <c r="E206" s="1"/>
      <c r="F206" s="1" t="s">
        <v>20</v>
      </c>
      <c r="G206" s="1"/>
      <c r="H206" s="1"/>
      <c r="I206" s="1"/>
      <c r="J206" s="1" t="s">
        <v>3571</v>
      </c>
      <c r="K206" s="1" t="s">
        <v>59</v>
      </c>
      <c r="L206" s="1"/>
    </row>
    <row r="207" spans="1:12">
      <c r="A207" s="1" t="s">
        <v>3572</v>
      </c>
      <c r="B207" s="1" t="s">
        <v>829</v>
      </c>
      <c r="C207" s="1" t="s">
        <v>3310</v>
      </c>
      <c r="D207" s="1">
        <v>1</v>
      </c>
      <c r="E207" s="1"/>
      <c r="F207" s="1" t="s">
        <v>20</v>
      </c>
      <c r="G207" s="1"/>
      <c r="H207" s="1"/>
      <c r="I207" s="1"/>
      <c r="J207" s="1" t="s">
        <v>830</v>
      </c>
      <c r="K207" s="1" t="s">
        <v>59</v>
      </c>
      <c r="L207" s="1"/>
    </row>
    <row r="208" spans="1:12">
      <c r="A208" s="1" t="s">
        <v>3573</v>
      </c>
      <c r="B208" s="1" t="s">
        <v>832</v>
      </c>
      <c r="C208" s="1" t="s">
        <v>3310</v>
      </c>
      <c r="D208" s="1">
        <v>1</v>
      </c>
      <c r="E208" s="1"/>
      <c r="F208" s="1" t="s">
        <v>20</v>
      </c>
      <c r="G208" s="1"/>
      <c r="H208" s="1"/>
      <c r="I208" s="1"/>
      <c r="J208" s="1" t="s">
        <v>833</v>
      </c>
      <c r="K208" s="1" t="s">
        <v>59</v>
      </c>
      <c r="L208" s="1"/>
    </row>
    <row r="209" spans="1:12">
      <c r="A209" s="1" t="s">
        <v>3574</v>
      </c>
      <c r="B209" s="1" t="s">
        <v>835</v>
      </c>
      <c r="C209" s="1" t="s">
        <v>3310</v>
      </c>
      <c r="D209" s="1">
        <v>1</v>
      </c>
      <c r="E209" s="1"/>
      <c r="F209" s="1" t="s">
        <v>20</v>
      </c>
      <c r="G209" s="1"/>
      <c r="H209" s="1"/>
      <c r="I209" s="1"/>
      <c r="J209" s="1" t="s">
        <v>836</v>
      </c>
      <c r="K209" s="1" t="s">
        <v>59</v>
      </c>
      <c r="L209" s="1"/>
    </row>
    <row r="210" spans="1:12">
      <c r="A210" s="1" t="s">
        <v>3575</v>
      </c>
      <c r="B210" s="1" t="s">
        <v>838</v>
      </c>
      <c r="C210" s="1" t="s">
        <v>3310</v>
      </c>
      <c r="D210" s="1">
        <v>1</v>
      </c>
      <c r="E210" s="1"/>
      <c r="F210" s="1" t="s">
        <v>20</v>
      </c>
      <c r="G210" s="1"/>
      <c r="H210" s="1"/>
      <c r="I210" s="1"/>
      <c r="J210" s="1" t="s">
        <v>839</v>
      </c>
      <c r="K210" s="1" t="s">
        <v>59</v>
      </c>
      <c r="L210" s="1"/>
    </row>
    <row r="211" spans="1:12">
      <c r="A211" s="1" t="s">
        <v>3576</v>
      </c>
      <c r="B211" s="1" t="s">
        <v>841</v>
      </c>
      <c r="C211" s="1" t="s">
        <v>3310</v>
      </c>
      <c r="D211" s="1">
        <v>1</v>
      </c>
      <c r="E211" s="1"/>
      <c r="F211" s="1" t="s">
        <v>20</v>
      </c>
      <c r="G211" s="1"/>
      <c r="H211" s="1"/>
      <c r="I211" s="1"/>
      <c r="J211" s="1" t="s">
        <v>842</v>
      </c>
      <c r="K211" s="1" t="s">
        <v>59</v>
      </c>
      <c r="L211" s="1"/>
    </row>
    <row r="212" spans="1:12">
      <c r="A212" s="1" t="s">
        <v>3577</v>
      </c>
      <c r="B212" s="1" t="s">
        <v>844</v>
      </c>
      <c r="C212" s="1" t="s">
        <v>3310</v>
      </c>
      <c r="D212" s="1">
        <v>1</v>
      </c>
      <c r="E212" s="1"/>
      <c r="F212" s="1" t="s">
        <v>20</v>
      </c>
      <c r="G212" s="1"/>
      <c r="H212" s="1"/>
      <c r="I212" s="1"/>
      <c r="J212" s="1" t="s">
        <v>846</v>
      </c>
      <c r="K212" s="1" t="s">
        <v>59</v>
      </c>
      <c r="L212" s="1"/>
    </row>
    <row r="213" spans="1:12">
      <c r="A213" s="1" t="s">
        <v>3578</v>
      </c>
      <c r="B213" s="1" t="s">
        <v>848</v>
      </c>
      <c r="C213" s="1" t="s">
        <v>3310</v>
      </c>
      <c r="D213" s="1">
        <v>1</v>
      </c>
      <c r="E213" s="1"/>
      <c r="F213" s="1" t="s">
        <v>20</v>
      </c>
      <c r="G213" s="1"/>
      <c r="H213" s="1"/>
      <c r="I213" s="1"/>
      <c r="J213" s="1" t="s">
        <v>849</v>
      </c>
      <c r="K213" s="1" t="s">
        <v>59</v>
      </c>
      <c r="L213" s="1"/>
    </row>
    <row r="214" spans="1:12">
      <c r="A214" s="1" t="s">
        <v>3579</v>
      </c>
      <c r="B214" s="1" t="s">
        <v>851</v>
      </c>
      <c r="C214" s="1" t="s">
        <v>3310</v>
      </c>
      <c r="D214" s="1">
        <v>1</v>
      </c>
      <c r="E214" s="1"/>
      <c r="F214" s="1" t="s">
        <v>20</v>
      </c>
      <c r="G214" s="1"/>
      <c r="H214" s="1"/>
      <c r="I214" s="1"/>
      <c r="J214" s="1" t="s">
        <v>852</v>
      </c>
      <c r="K214" s="1" t="s">
        <v>59</v>
      </c>
      <c r="L214" s="1"/>
    </row>
    <row r="215" spans="1:12">
      <c r="A215" s="1" t="s">
        <v>3580</v>
      </c>
      <c r="B215" s="1" t="s">
        <v>854</v>
      </c>
      <c r="C215" s="1" t="s">
        <v>3310</v>
      </c>
      <c r="D215" s="1">
        <v>1</v>
      </c>
      <c r="E215" s="1"/>
      <c r="F215" s="1" t="s">
        <v>20</v>
      </c>
      <c r="G215" s="1"/>
      <c r="H215" s="1"/>
      <c r="I215" s="1"/>
      <c r="J215" s="1" t="s">
        <v>855</v>
      </c>
      <c r="K215" s="1" t="s">
        <v>59</v>
      </c>
      <c r="L215" s="1"/>
    </row>
    <row r="216" spans="1:12">
      <c r="A216" s="1" t="s">
        <v>3581</v>
      </c>
      <c r="B216" s="1" t="s">
        <v>857</v>
      </c>
      <c r="C216" s="1" t="s">
        <v>3310</v>
      </c>
      <c r="D216" s="1">
        <v>1</v>
      </c>
      <c r="E216" s="1"/>
      <c r="F216" s="1" t="s">
        <v>20</v>
      </c>
      <c r="G216" s="1"/>
      <c r="H216" s="1"/>
      <c r="I216" s="1"/>
      <c r="J216" s="1" t="s">
        <v>859</v>
      </c>
      <c r="K216" s="1" t="s">
        <v>59</v>
      </c>
      <c r="L216" s="1"/>
    </row>
    <row r="217" spans="1:12">
      <c r="A217" s="1" t="s">
        <v>3582</v>
      </c>
      <c r="B217" s="1" t="s">
        <v>861</v>
      </c>
      <c r="C217" s="1" t="s">
        <v>3310</v>
      </c>
      <c r="D217" s="1">
        <v>1</v>
      </c>
      <c r="E217" s="1"/>
      <c r="F217" s="1" t="s">
        <v>20</v>
      </c>
      <c r="G217" s="1"/>
      <c r="H217" s="1"/>
      <c r="I217" s="1"/>
      <c r="J217" s="1" t="s">
        <v>862</v>
      </c>
      <c r="K217" s="1" t="s">
        <v>59</v>
      </c>
      <c r="L217" s="1"/>
    </row>
    <row r="218" spans="1:12">
      <c r="A218" s="1" t="s">
        <v>3583</v>
      </c>
      <c r="B218" s="1" t="s">
        <v>861</v>
      </c>
      <c r="C218" s="1" t="s">
        <v>3310</v>
      </c>
      <c r="D218" s="1">
        <v>1</v>
      </c>
      <c r="E218" s="1"/>
      <c r="F218" s="1" t="s">
        <v>20</v>
      </c>
      <c r="G218" s="1"/>
      <c r="H218" s="1"/>
      <c r="I218" s="1"/>
      <c r="J218" s="1" t="s">
        <v>866</v>
      </c>
      <c r="K218" s="1" t="s">
        <v>59</v>
      </c>
      <c r="L218" s="1"/>
    </row>
    <row r="219" spans="1:12">
      <c r="A219" s="1" t="s">
        <v>3584</v>
      </c>
      <c r="B219" s="1" t="s">
        <v>861</v>
      </c>
      <c r="C219" s="1" t="s">
        <v>3310</v>
      </c>
      <c r="D219" s="1">
        <v>1</v>
      </c>
      <c r="E219" s="1"/>
      <c r="F219" s="1" t="s">
        <v>20</v>
      </c>
      <c r="G219" s="1"/>
      <c r="H219" s="1"/>
      <c r="I219" s="1"/>
      <c r="J219" s="1" t="s">
        <v>868</v>
      </c>
      <c r="K219" s="1" t="s">
        <v>59</v>
      </c>
      <c r="L219" s="1"/>
    </row>
    <row r="220" spans="1:12">
      <c r="A220" s="1" t="s">
        <v>3585</v>
      </c>
      <c r="B220" s="1" t="s">
        <v>861</v>
      </c>
      <c r="C220" s="1" t="s">
        <v>3310</v>
      </c>
      <c r="D220" s="1">
        <v>1</v>
      </c>
      <c r="E220" s="1"/>
      <c r="F220" s="1" t="s">
        <v>20</v>
      </c>
      <c r="G220" s="1"/>
      <c r="H220" s="1"/>
      <c r="I220" s="1"/>
      <c r="J220" s="1" t="s">
        <v>870</v>
      </c>
      <c r="K220" s="1" t="s">
        <v>59</v>
      </c>
      <c r="L220" s="1"/>
    </row>
    <row r="221" spans="1:12">
      <c r="A221" s="1" t="s">
        <v>3586</v>
      </c>
      <c r="B221" s="1" t="s">
        <v>861</v>
      </c>
      <c r="C221" s="1" t="s">
        <v>3310</v>
      </c>
      <c r="D221" s="1">
        <v>1</v>
      </c>
      <c r="E221" s="1"/>
      <c r="F221" s="1" t="s">
        <v>20</v>
      </c>
      <c r="G221" s="1"/>
      <c r="H221" s="1"/>
      <c r="I221" s="1"/>
      <c r="J221" s="1" t="s">
        <v>872</v>
      </c>
      <c r="K221" s="1" t="s">
        <v>59</v>
      </c>
      <c r="L221" s="1"/>
    </row>
    <row r="222" spans="1:12">
      <c r="A222" s="1" t="s">
        <v>3587</v>
      </c>
      <c r="B222" s="1" t="s">
        <v>861</v>
      </c>
      <c r="C222" s="1" t="s">
        <v>3310</v>
      </c>
      <c r="D222" s="1">
        <v>1</v>
      </c>
      <c r="E222" s="1"/>
      <c r="F222" s="1" t="s">
        <v>20</v>
      </c>
      <c r="G222" s="1"/>
      <c r="H222" s="1"/>
      <c r="I222" s="1"/>
      <c r="J222" s="1" t="s">
        <v>874</v>
      </c>
      <c r="K222" s="1" t="s">
        <v>59</v>
      </c>
      <c r="L222" s="1"/>
    </row>
    <row r="223" spans="1:12">
      <c r="A223" s="1" t="s">
        <v>3588</v>
      </c>
      <c r="B223" s="1" t="s">
        <v>861</v>
      </c>
      <c r="C223" s="1" t="s">
        <v>3310</v>
      </c>
      <c r="D223" s="1">
        <v>1</v>
      </c>
      <c r="E223" s="1"/>
      <c r="F223" s="1" t="s">
        <v>20</v>
      </c>
      <c r="G223" s="1"/>
      <c r="H223" s="1"/>
      <c r="I223" s="1"/>
      <c r="J223" s="1" t="s">
        <v>876</v>
      </c>
      <c r="K223" s="1" t="s">
        <v>59</v>
      </c>
      <c r="L223" s="1"/>
    </row>
    <row r="224" spans="1:12">
      <c r="A224" s="1" t="s">
        <v>3589</v>
      </c>
      <c r="B224" s="1" t="s">
        <v>861</v>
      </c>
      <c r="C224" s="1" t="s">
        <v>3310</v>
      </c>
      <c r="D224" s="1">
        <v>1</v>
      </c>
      <c r="E224" s="1"/>
      <c r="F224" s="1" t="s">
        <v>20</v>
      </c>
      <c r="G224" s="1"/>
      <c r="H224" s="1"/>
      <c r="I224" s="1"/>
      <c r="J224" s="1" t="s">
        <v>878</v>
      </c>
      <c r="K224" s="1" t="s">
        <v>59</v>
      </c>
      <c r="L224" s="1"/>
    </row>
    <row r="225" spans="1:12">
      <c r="A225" s="1" t="s">
        <v>3590</v>
      </c>
      <c r="B225" s="1" t="s">
        <v>861</v>
      </c>
      <c r="C225" s="1" t="s">
        <v>3310</v>
      </c>
      <c r="D225" s="1">
        <v>1</v>
      </c>
      <c r="E225" s="1"/>
      <c r="F225" s="1" t="s">
        <v>20</v>
      </c>
      <c r="G225" s="1"/>
      <c r="H225" s="1"/>
      <c r="I225" s="1"/>
      <c r="J225" s="1" t="s">
        <v>880</v>
      </c>
      <c r="K225" s="1" t="s">
        <v>59</v>
      </c>
      <c r="L225" s="1"/>
    </row>
    <row r="226" spans="1:12">
      <c r="A226" s="1" t="s">
        <v>3591</v>
      </c>
      <c r="B226" s="1" t="s">
        <v>861</v>
      </c>
      <c r="C226" s="1" t="s">
        <v>3310</v>
      </c>
      <c r="D226" s="1">
        <v>1</v>
      </c>
      <c r="E226" s="1"/>
      <c r="F226" s="1" t="s">
        <v>20</v>
      </c>
      <c r="G226" s="1"/>
      <c r="H226" s="1"/>
      <c r="I226" s="1"/>
      <c r="J226" s="1" t="s">
        <v>883</v>
      </c>
      <c r="K226" s="1" t="s">
        <v>59</v>
      </c>
      <c r="L226" s="1"/>
    </row>
    <row r="227" spans="1:12">
      <c r="A227" s="1" t="s">
        <v>3592</v>
      </c>
      <c r="B227" s="1" t="s">
        <v>861</v>
      </c>
      <c r="C227" s="1" t="s">
        <v>3310</v>
      </c>
      <c r="D227" s="1">
        <v>1</v>
      </c>
      <c r="E227" s="1"/>
      <c r="F227" s="1" t="s">
        <v>20</v>
      </c>
      <c r="G227" s="1"/>
      <c r="H227" s="1"/>
      <c r="I227" s="1"/>
      <c r="J227" s="1" t="s">
        <v>885</v>
      </c>
      <c r="K227" s="1" t="s">
        <v>59</v>
      </c>
      <c r="L227" s="1"/>
    </row>
    <row r="228" spans="1:12">
      <c r="A228" s="1" t="s">
        <v>3593</v>
      </c>
      <c r="B228" s="1" t="s">
        <v>861</v>
      </c>
      <c r="C228" s="1" t="s">
        <v>3310</v>
      </c>
      <c r="D228" s="1">
        <v>1</v>
      </c>
      <c r="E228" s="1"/>
      <c r="F228" s="1" t="s">
        <v>20</v>
      </c>
      <c r="G228" s="1"/>
      <c r="H228" s="1"/>
      <c r="I228" s="1"/>
      <c r="J228" s="1" t="s">
        <v>887</v>
      </c>
      <c r="K228" s="1" t="s">
        <v>59</v>
      </c>
      <c r="L228" s="1"/>
    </row>
    <row r="229" spans="1:12">
      <c r="A229" s="1" t="s">
        <v>3594</v>
      </c>
      <c r="B229" s="1" t="s">
        <v>861</v>
      </c>
      <c r="C229" s="1" t="s">
        <v>3310</v>
      </c>
      <c r="D229" s="1">
        <v>1</v>
      </c>
      <c r="E229" s="1"/>
      <c r="F229" s="1" t="s">
        <v>20</v>
      </c>
      <c r="G229" s="1"/>
      <c r="H229" s="1"/>
      <c r="I229" s="1"/>
      <c r="J229" s="1" t="s">
        <v>890</v>
      </c>
      <c r="K229" s="1" t="s">
        <v>59</v>
      </c>
      <c r="L229" s="1"/>
    </row>
    <row r="230" spans="1:12">
      <c r="A230" s="1" t="s">
        <v>3595</v>
      </c>
      <c r="B230" s="1" t="s">
        <v>861</v>
      </c>
      <c r="C230" s="1" t="s">
        <v>3310</v>
      </c>
      <c r="D230" s="1">
        <v>1</v>
      </c>
      <c r="E230" s="1"/>
      <c r="F230" s="1" t="s">
        <v>20</v>
      </c>
      <c r="G230" s="1"/>
      <c r="H230" s="1"/>
      <c r="I230" s="1"/>
      <c r="J230" s="1" t="s">
        <v>893</v>
      </c>
      <c r="K230" s="1" t="s">
        <v>59</v>
      </c>
      <c r="L230" s="1"/>
    </row>
    <row r="231" spans="1:12">
      <c r="A231" s="1" t="s">
        <v>3596</v>
      </c>
      <c r="B231" s="1" t="s">
        <v>861</v>
      </c>
      <c r="C231" s="1" t="s">
        <v>3310</v>
      </c>
      <c r="D231" s="1">
        <v>1</v>
      </c>
      <c r="E231" s="1"/>
      <c r="F231" s="1" t="s">
        <v>20</v>
      </c>
      <c r="G231" s="1"/>
      <c r="H231" s="1"/>
      <c r="I231" s="1"/>
      <c r="J231" s="1" t="s">
        <v>895</v>
      </c>
      <c r="K231" s="1" t="s">
        <v>59</v>
      </c>
      <c r="L231" s="1"/>
    </row>
    <row r="232" spans="1:12">
      <c r="A232" s="1" t="s">
        <v>3597</v>
      </c>
      <c r="B232" s="1" t="s">
        <v>861</v>
      </c>
      <c r="C232" s="1" t="s">
        <v>3310</v>
      </c>
      <c r="D232" s="1">
        <v>1</v>
      </c>
      <c r="E232" s="1"/>
      <c r="F232" s="1" t="s">
        <v>20</v>
      </c>
      <c r="G232" s="1"/>
      <c r="H232" s="1"/>
      <c r="I232" s="1"/>
      <c r="J232" s="1" t="s">
        <v>897</v>
      </c>
      <c r="K232" s="1" t="s">
        <v>59</v>
      </c>
      <c r="L232" s="1"/>
    </row>
    <row r="233" spans="1:12">
      <c r="A233" s="1" t="s">
        <v>3598</v>
      </c>
      <c r="B233" s="1" t="s">
        <v>861</v>
      </c>
      <c r="C233" s="1" t="s">
        <v>3310</v>
      </c>
      <c r="D233" s="1">
        <v>1</v>
      </c>
      <c r="E233" s="1"/>
      <c r="F233" s="1" t="s">
        <v>20</v>
      </c>
      <c r="G233" s="1"/>
      <c r="H233" s="1"/>
      <c r="I233" s="1"/>
      <c r="J233" s="1" t="s">
        <v>899</v>
      </c>
      <c r="K233" s="1" t="s">
        <v>59</v>
      </c>
      <c r="L233" s="1"/>
    </row>
    <row r="234" spans="1:12">
      <c r="A234" s="1" t="s">
        <v>3599</v>
      </c>
      <c r="B234" s="1" t="s">
        <v>861</v>
      </c>
      <c r="C234" s="1" t="s">
        <v>3310</v>
      </c>
      <c r="D234" s="1">
        <v>1</v>
      </c>
      <c r="E234" s="1"/>
      <c r="F234" s="1" t="s">
        <v>20</v>
      </c>
      <c r="G234" s="1"/>
      <c r="H234" s="1"/>
      <c r="I234" s="1"/>
      <c r="J234" s="1" t="s">
        <v>901</v>
      </c>
      <c r="K234" s="1" t="s">
        <v>59</v>
      </c>
      <c r="L234" s="1"/>
    </row>
    <row r="235" spans="1:12">
      <c r="A235" s="1" t="s">
        <v>3600</v>
      </c>
      <c r="B235" s="1" t="s">
        <v>861</v>
      </c>
      <c r="C235" s="1" t="s">
        <v>3310</v>
      </c>
      <c r="D235" s="1">
        <v>1</v>
      </c>
      <c r="E235" s="1"/>
      <c r="F235" s="1" t="s">
        <v>20</v>
      </c>
      <c r="G235" s="1"/>
      <c r="H235" s="1"/>
      <c r="I235" s="1"/>
      <c r="J235" s="1" t="s">
        <v>903</v>
      </c>
      <c r="K235" s="1" t="s">
        <v>59</v>
      </c>
      <c r="L235" s="1"/>
    </row>
    <row r="236" spans="1:12">
      <c r="A236" s="1" t="s">
        <v>3601</v>
      </c>
      <c r="B236" s="1" t="s">
        <v>861</v>
      </c>
      <c r="C236" s="1" t="s">
        <v>3310</v>
      </c>
      <c r="D236" s="1">
        <v>1</v>
      </c>
      <c r="E236" s="1"/>
      <c r="F236" s="1" t="s">
        <v>20</v>
      </c>
      <c r="G236" s="1"/>
      <c r="H236" s="1"/>
      <c r="I236" s="1"/>
      <c r="J236" s="1" t="s">
        <v>906</v>
      </c>
      <c r="K236" s="1" t="s">
        <v>59</v>
      </c>
      <c r="L236" s="1"/>
    </row>
    <row r="237" spans="1:12">
      <c r="A237" s="1" t="s">
        <v>3602</v>
      </c>
      <c r="B237" s="1" t="s">
        <v>861</v>
      </c>
      <c r="C237" s="1" t="s">
        <v>3310</v>
      </c>
      <c r="D237" s="1">
        <v>1</v>
      </c>
      <c r="E237" s="1"/>
      <c r="F237" s="1" t="s">
        <v>20</v>
      </c>
      <c r="G237" s="1"/>
      <c r="H237" s="1"/>
      <c r="I237" s="1"/>
      <c r="J237" s="1" t="s">
        <v>908</v>
      </c>
      <c r="K237" s="1" t="s">
        <v>59</v>
      </c>
      <c r="L237" s="1"/>
    </row>
    <row r="238" spans="1:12">
      <c r="A238" s="1" t="s">
        <v>3603</v>
      </c>
      <c r="B238" s="1" t="s">
        <v>861</v>
      </c>
      <c r="C238" s="1" t="s">
        <v>3310</v>
      </c>
      <c r="D238" s="1">
        <v>1</v>
      </c>
      <c r="E238" s="1"/>
      <c r="F238" s="1" t="s">
        <v>20</v>
      </c>
      <c r="G238" s="1"/>
      <c r="H238" s="1"/>
      <c r="I238" s="1"/>
      <c r="J238" s="1" t="s">
        <v>910</v>
      </c>
      <c r="K238" s="1" t="s">
        <v>59</v>
      </c>
      <c r="L238" s="1"/>
    </row>
    <row r="239" spans="1:12">
      <c r="A239" s="1" t="s">
        <v>3604</v>
      </c>
      <c r="B239" s="1" t="s">
        <v>861</v>
      </c>
      <c r="C239" s="1" t="s">
        <v>3310</v>
      </c>
      <c r="D239" s="1">
        <v>1</v>
      </c>
      <c r="E239" s="1"/>
      <c r="F239" s="1" t="s">
        <v>20</v>
      </c>
      <c r="G239" s="1"/>
      <c r="H239" s="1"/>
      <c r="I239" s="1"/>
      <c r="J239" s="1" t="s">
        <v>912</v>
      </c>
      <c r="K239" s="1" t="s">
        <v>59</v>
      </c>
      <c r="L239" s="1"/>
    </row>
    <row r="240" spans="1:12">
      <c r="A240" s="1" t="s">
        <v>3605</v>
      </c>
      <c r="B240" s="1" t="s">
        <v>861</v>
      </c>
      <c r="C240" s="1" t="s">
        <v>3310</v>
      </c>
      <c r="D240" s="1">
        <v>1</v>
      </c>
      <c r="E240" s="1"/>
      <c r="F240" s="1" t="s">
        <v>20</v>
      </c>
      <c r="G240" s="1"/>
      <c r="H240" s="1"/>
      <c r="I240" s="1"/>
      <c r="J240" s="1" t="s">
        <v>914</v>
      </c>
      <c r="K240" s="1" t="s">
        <v>59</v>
      </c>
      <c r="L240" s="1"/>
    </row>
    <row r="241" spans="1:12">
      <c r="A241" s="1" t="s">
        <v>3606</v>
      </c>
      <c r="B241" s="1" t="s">
        <v>861</v>
      </c>
      <c r="C241" s="1" t="s">
        <v>3310</v>
      </c>
      <c r="D241" s="1">
        <v>1</v>
      </c>
      <c r="E241" s="1"/>
      <c r="F241" s="1" t="s">
        <v>20</v>
      </c>
      <c r="G241" s="1"/>
      <c r="H241" s="1"/>
      <c r="I241" s="1"/>
      <c r="J241" s="1" t="s">
        <v>916</v>
      </c>
      <c r="K241" s="1" t="s">
        <v>59</v>
      </c>
      <c r="L241" s="1"/>
    </row>
    <row r="242" spans="1:12">
      <c r="A242" s="1" t="s">
        <v>3607</v>
      </c>
      <c r="B242" s="1" t="s">
        <v>861</v>
      </c>
      <c r="C242" s="1" t="s">
        <v>3310</v>
      </c>
      <c r="D242" s="1">
        <v>1</v>
      </c>
      <c r="E242" s="1"/>
      <c r="F242" s="1" t="s">
        <v>20</v>
      </c>
      <c r="G242" s="1"/>
      <c r="H242" s="1"/>
      <c r="I242" s="1"/>
      <c r="J242" s="1" t="s">
        <v>918</v>
      </c>
      <c r="K242" s="1" t="s">
        <v>59</v>
      </c>
      <c r="L242" s="1"/>
    </row>
    <row r="243" spans="1:12">
      <c r="A243" s="1" t="s">
        <v>3608</v>
      </c>
      <c r="B243" s="1" t="s">
        <v>861</v>
      </c>
      <c r="C243" s="1" t="s">
        <v>3310</v>
      </c>
      <c r="D243" s="1">
        <v>1</v>
      </c>
      <c r="E243" s="1"/>
      <c r="F243" s="1" t="s">
        <v>20</v>
      </c>
      <c r="G243" s="1"/>
      <c r="H243" s="1"/>
      <c r="I243" s="1"/>
      <c r="J243" s="1" t="s">
        <v>921</v>
      </c>
      <c r="K243" s="1" t="s">
        <v>59</v>
      </c>
      <c r="L243" s="1"/>
    </row>
    <row r="244" spans="1:12">
      <c r="A244" s="1" t="s">
        <v>3609</v>
      </c>
      <c r="B244" s="1" t="s">
        <v>861</v>
      </c>
      <c r="C244" s="1" t="s">
        <v>3310</v>
      </c>
      <c r="D244" s="1">
        <v>1</v>
      </c>
      <c r="E244" s="1"/>
      <c r="F244" s="1" t="s">
        <v>20</v>
      </c>
      <c r="G244" s="1"/>
      <c r="H244" s="1"/>
      <c r="I244" s="1"/>
      <c r="J244" s="1" t="s">
        <v>923</v>
      </c>
      <c r="K244" s="1" t="s">
        <v>59</v>
      </c>
      <c r="L244" s="1"/>
    </row>
    <row r="245" spans="1:12">
      <c r="A245" s="1" t="s">
        <v>3610</v>
      </c>
      <c r="B245" s="1" t="s">
        <v>861</v>
      </c>
      <c r="C245" s="1" t="s">
        <v>3310</v>
      </c>
      <c r="D245" s="1">
        <v>1</v>
      </c>
      <c r="E245" s="1"/>
      <c r="F245" s="1" t="s">
        <v>20</v>
      </c>
      <c r="G245" s="1"/>
      <c r="H245" s="1"/>
      <c r="I245" s="1"/>
      <c r="J245" s="1" t="s">
        <v>926</v>
      </c>
      <c r="K245" s="1" t="s">
        <v>59</v>
      </c>
      <c r="L245" s="1"/>
    </row>
    <row r="246" spans="1:12">
      <c r="A246" s="1" t="s">
        <v>3611</v>
      </c>
      <c r="B246" s="1" t="s">
        <v>861</v>
      </c>
      <c r="C246" s="1" t="s">
        <v>3310</v>
      </c>
      <c r="D246" s="1">
        <v>1</v>
      </c>
      <c r="E246" s="1"/>
      <c r="F246" s="1" t="s">
        <v>20</v>
      </c>
      <c r="G246" s="1"/>
      <c r="H246" s="1"/>
      <c r="I246" s="1"/>
      <c r="J246" s="1" t="s">
        <v>928</v>
      </c>
      <c r="K246" s="1" t="s">
        <v>59</v>
      </c>
      <c r="L246" s="1"/>
    </row>
    <row r="247" spans="1:12">
      <c r="A247" s="1" t="s">
        <v>3612</v>
      </c>
      <c r="B247" s="1" t="s">
        <v>861</v>
      </c>
      <c r="C247" s="1" t="s">
        <v>3310</v>
      </c>
      <c r="D247" s="1">
        <v>1</v>
      </c>
      <c r="E247" s="1"/>
      <c r="F247" s="1" t="s">
        <v>20</v>
      </c>
      <c r="G247" s="1"/>
      <c r="H247" s="1"/>
      <c r="I247" s="1"/>
      <c r="J247" s="1" t="s">
        <v>930</v>
      </c>
      <c r="K247" s="1" t="s">
        <v>59</v>
      </c>
      <c r="L247" s="1"/>
    </row>
    <row r="248" spans="1:12">
      <c r="A248" s="1" t="s">
        <v>3613</v>
      </c>
      <c r="B248" s="1" t="s">
        <v>861</v>
      </c>
      <c r="C248" s="1" t="s">
        <v>3310</v>
      </c>
      <c r="D248" s="1">
        <v>1</v>
      </c>
      <c r="E248" s="1"/>
      <c r="F248" s="1" t="s">
        <v>20</v>
      </c>
      <c r="G248" s="1"/>
      <c r="H248" s="1"/>
      <c r="I248" s="1"/>
      <c r="J248" s="1" t="s">
        <v>933</v>
      </c>
      <c r="K248" s="1" t="s">
        <v>59</v>
      </c>
      <c r="L248" s="1"/>
    </row>
    <row r="249" spans="1:12">
      <c r="A249" s="1" t="s">
        <v>3614</v>
      </c>
      <c r="B249" s="1" t="s">
        <v>861</v>
      </c>
      <c r="C249" s="1" t="s">
        <v>3310</v>
      </c>
      <c r="D249" s="1">
        <v>1</v>
      </c>
      <c r="E249" s="1"/>
      <c r="F249" s="1" t="s">
        <v>20</v>
      </c>
      <c r="G249" s="1"/>
      <c r="H249" s="1"/>
      <c r="I249" s="1"/>
      <c r="J249" s="1" t="s">
        <v>936</v>
      </c>
      <c r="K249" s="1" t="s">
        <v>59</v>
      </c>
      <c r="L249" s="1"/>
    </row>
    <row r="250" spans="1:12">
      <c r="A250" s="1" t="s">
        <v>3615</v>
      </c>
      <c r="B250" s="1" t="s">
        <v>861</v>
      </c>
      <c r="C250" s="1" t="s">
        <v>3310</v>
      </c>
      <c r="D250" s="1">
        <v>1</v>
      </c>
      <c r="E250" s="1"/>
      <c r="F250" s="1" t="s">
        <v>20</v>
      </c>
      <c r="G250" s="1"/>
      <c r="H250" s="1"/>
      <c r="I250" s="1"/>
      <c r="J250" s="1" t="s">
        <v>938</v>
      </c>
      <c r="K250" s="1" t="s">
        <v>59</v>
      </c>
      <c r="L250" s="1"/>
    </row>
    <row r="251" spans="1:12">
      <c r="A251" s="1" t="s">
        <v>3616</v>
      </c>
      <c r="B251" s="1" t="s">
        <v>861</v>
      </c>
      <c r="C251" s="1" t="s">
        <v>3310</v>
      </c>
      <c r="D251" s="1">
        <v>1</v>
      </c>
      <c r="E251" s="1"/>
      <c r="F251" s="1" t="s">
        <v>20</v>
      </c>
      <c r="G251" s="1"/>
      <c r="H251" s="1"/>
      <c r="I251" s="1"/>
      <c r="J251" s="1" t="s">
        <v>940</v>
      </c>
      <c r="K251" s="1" t="s">
        <v>59</v>
      </c>
      <c r="L251" s="1"/>
    </row>
    <row r="252" spans="1:12">
      <c r="A252" s="1" t="s">
        <v>3617</v>
      </c>
      <c r="B252" s="1" t="s">
        <v>861</v>
      </c>
      <c r="C252" s="1" t="s">
        <v>3310</v>
      </c>
      <c r="D252" s="1">
        <v>1</v>
      </c>
      <c r="E252" s="1"/>
      <c r="F252" s="1" t="s">
        <v>20</v>
      </c>
      <c r="G252" s="1"/>
      <c r="H252" s="1"/>
      <c r="I252" s="1"/>
      <c r="J252" s="1" t="s">
        <v>942</v>
      </c>
      <c r="K252" s="1" t="s">
        <v>59</v>
      </c>
      <c r="L252" s="1"/>
    </row>
    <row r="253" spans="1:12">
      <c r="A253" s="1" t="s">
        <v>3618</v>
      </c>
      <c r="B253" s="1" t="s">
        <v>861</v>
      </c>
      <c r="C253" s="1" t="s">
        <v>3310</v>
      </c>
      <c r="D253" s="1">
        <v>1</v>
      </c>
      <c r="E253" s="1"/>
      <c r="F253" s="1" t="s">
        <v>20</v>
      </c>
      <c r="G253" s="1"/>
      <c r="H253" s="1"/>
      <c r="I253" s="1"/>
      <c r="J253" s="1" t="s">
        <v>945</v>
      </c>
      <c r="K253" s="1" t="s">
        <v>59</v>
      </c>
      <c r="L253" s="1"/>
    </row>
    <row r="254" spans="1:12">
      <c r="A254" s="1" t="s">
        <v>3619</v>
      </c>
      <c r="B254" s="1" t="s">
        <v>861</v>
      </c>
      <c r="C254" s="1" t="s">
        <v>3310</v>
      </c>
      <c r="D254" s="1">
        <v>1</v>
      </c>
      <c r="E254" s="1"/>
      <c r="F254" s="1" t="s">
        <v>20</v>
      </c>
      <c r="G254" s="1"/>
      <c r="H254" s="1"/>
      <c r="I254" s="1"/>
      <c r="J254" s="1" t="s">
        <v>947</v>
      </c>
      <c r="K254" s="1" t="s">
        <v>59</v>
      </c>
      <c r="L254" s="1"/>
    </row>
    <row r="255" spans="1:12">
      <c r="A255" s="1" t="s">
        <v>3620</v>
      </c>
      <c r="B255" s="1" t="s">
        <v>861</v>
      </c>
      <c r="C255" s="1" t="s">
        <v>3310</v>
      </c>
      <c r="D255" s="1">
        <v>1</v>
      </c>
      <c r="E255" s="1"/>
      <c r="F255" s="1" t="s">
        <v>20</v>
      </c>
      <c r="G255" s="1"/>
      <c r="H255" s="1"/>
      <c r="I255" s="1"/>
      <c r="J255" s="1" t="s">
        <v>949</v>
      </c>
      <c r="K255" s="1" t="s">
        <v>59</v>
      </c>
      <c r="L255" s="1"/>
    </row>
    <row r="256" spans="1:12">
      <c r="A256" s="1" t="s">
        <v>3621</v>
      </c>
      <c r="B256" s="1" t="s">
        <v>861</v>
      </c>
      <c r="C256" s="1" t="s">
        <v>3310</v>
      </c>
      <c r="D256" s="1">
        <v>1</v>
      </c>
      <c r="E256" s="1"/>
      <c r="F256" s="1" t="s">
        <v>20</v>
      </c>
      <c r="G256" s="1"/>
      <c r="H256" s="1"/>
      <c r="I256" s="1"/>
      <c r="J256" s="1" t="s">
        <v>951</v>
      </c>
      <c r="K256" s="1" t="s">
        <v>59</v>
      </c>
      <c r="L256" s="1"/>
    </row>
    <row r="257" spans="1:12">
      <c r="A257" s="1" t="s">
        <v>3622</v>
      </c>
      <c r="B257" s="1" t="s">
        <v>861</v>
      </c>
      <c r="C257" s="1" t="s">
        <v>3310</v>
      </c>
      <c r="D257" s="1">
        <v>1</v>
      </c>
      <c r="E257" s="1"/>
      <c r="F257" s="1" t="s">
        <v>20</v>
      </c>
      <c r="G257" s="1"/>
      <c r="H257" s="1"/>
      <c r="I257" s="1"/>
      <c r="J257" s="1" t="s">
        <v>953</v>
      </c>
      <c r="K257" s="1" t="s">
        <v>59</v>
      </c>
      <c r="L257" s="1"/>
    </row>
    <row r="258" spans="1:12">
      <c r="A258" s="1" t="s">
        <v>3623</v>
      </c>
      <c r="B258" s="1" t="s">
        <v>861</v>
      </c>
      <c r="C258" s="1" t="s">
        <v>3310</v>
      </c>
      <c r="D258" s="1">
        <v>1</v>
      </c>
      <c r="E258" s="1"/>
      <c r="F258" s="1" t="s">
        <v>20</v>
      </c>
      <c r="G258" s="1"/>
      <c r="H258" s="1"/>
      <c r="I258" s="1"/>
      <c r="J258" s="1" t="s">
        <v>955</v>
      </c>
      <c r="K258" s="1" t="s">
        <v>59</v>
      </c>
      <c r="L258" s="1"/>
    </row>
    <row r="259" spans="1:12">
      <c r="A259" s="1" t="s">
        <v>3624</v>
      </c>
      <c r="B259" s="1" t="s">
        <v>861</v>
      </c>
      <c r="C259" s="1" t="s">
        <v>3310</v>
      </c>
      <c r="D259" s="1">
        <v>1</v>
      </c>
      <c r="E259" s="1"/>
      <c r="F259" s="1" t="s">
        <v>20</v>
      </c>
      <c r="G259" s="1"/>
      <c r="H259" s="1"/>
      <c r="I259" s="1"/>
      <c r="J259" s="1" t="s">
        <v>957</v>
      </c>
      <c r="K259" s="1" t="s">
        <v>59</v>
      </c>
      <c r="L259" s="1"/>
    </row>
    <row r="260" spans="1:12">
      <c r="A260" s="1" t="s">
        <v>3625</v>
      </c>
      <c r="B260" s="1" t="s">
        <v>861</v>
      </c>
      <c r="C260" s="1" t="s">
        <v>3310</v>
      </c>
      <c r="D260" s="1">
        <v>1</v>
      </c>
      <c r="E260" s="1"/>
      <c r="F260" s="1" t="s">
        <v>20</v>
      </c>
      <c r="G260" s="1"/>
      <c r="H260" s="1"/>
      <c r="I260" s="1"/>
      <c r="J260" s="1" t="s">
        <v>959</v>
      </c>
      <c r="K260" s="1" t="s">
        <v>59</v>
      </c>
      <c r="L260" s="1"/>
    </row>
    <row r="261" spans="1:12">
      <c r="A261" s="1" t="s">
        <v>3626</v>
      </c>
      <c r="B261" s="1" t="s">
        <v>861</v>
      </c>
      <c r="C261" s="1" t="s">
        <v>3310</v>
      </c>
      <c r="D261" s="1">
        <v>1</v>
      </c>
      <c r="E261" s="1"/>
      <c r="F261" s="1" t="s">
        <v>20</v>
      </c>
      <c r="G261" s="1"/>
      <c r="H261" s="1"/>
      <c r="I261" s="1"/>
      <c r="J261" s="1" t="s">
        <v>961</v>
      </c>
      <c r="K261" s="1" t="s">
        <v>59</v>
      </c>
      <c r="L261" s="1"/>
    </row>
    <row r="262" spans="1:12">
      <c r="A262" s="1" t="s">
        <v>3627</v>
      </c>
      <c r="B262" s="1" t="s">
        <v>861</v>
      </c>
      <c r="C262" s="1" t="s">
        <v>3310</v>
      </c>
      <c r="D262" s="1">
        <v>1</v>
      </c>
      <c r="E262" s="1"/>
      <c r="F262" s="1" t="s">
        <v>20</v>
      </c>
      <c r="G262" s="1"/>
      <c r="H262" s="1"/>
      <c r="I262" s="1"/>
      <c r="J262" s="1" t="s">
        <v>963</v>
      </c>
      <c r="K262" s="1" t="s">
        <v>59</v>
      </c>
      <c r="L262" s="1"/>
    </row>
    <row r="263" spans="1:12">
      <c r="A263" s="1" t="s">
        <v>3628</v>
      </c>
      <c r="B263" s="1" t="s">
        <v>861</v>
      </c>
      <c r="C263" s="1" t="s">
        <v>3310</v>
      </c>
      <c r="D263" s="1">
        <v>1</v>
      </c>
      <c r="E263" s="1"/>
      <c r="F263" s="1" t="s">
        <v>20</v>
      </c>
      <c r="G263" s="1"/>
      <c r="H263" s="1"/>
      <c r="I263" s="1"/>
      <c r="J263" s="1" t="s">
        <v>965</v>
      </c>
      <c r="K263" s="1" t="s">
        <v>59</v>
      </c>
      <c r="L263" s="1"/>
    </row>
    <row r="264" spans="1:12">
      <c r="A264" s="1" t="s">
        <v>3629</v>
      </c>
      <c r="B264" s="1" t="s">
        <v>861</v>
      </c>
      <c r="C264" s="1" t="s">
        <v>3310</v>
      </c>
      <c r="D264" s="1">
        <v>1</v>
      </c>
      <c r="E264" s="1"/>
      <c r="F264" s="1" t="s">
        <v>20</v>
      </c>
      <c r="G264" s="1"/>
      <c r="H264" s="1"/>
      <c r="I264" s="1"/>
      <c r="J264" s="1" t="s">
        <v>967</v>
      </c>
      <c r="K264" s="1" t="s">
        <v>59</v>
      </c>
      <c r="L264" s="1"/>
    </row>
    <row r="265" spans="1:12">
      <c r="A265" s="1" t="s">
        <v>3630</v>
      </c>
      <c r="B265" s="1" t="s">
        <v>861</v>
      </c>
      <c r="C265" s="1" t="s">
        <v>3310</v>
      </c>
      <c r="D265" s="1">
        <v>1</v>
      </c>
      <c r="E265" s="1"/>
      <c r="F265" s="1" t="s">
        <v>20</v>
      </c>
      <c r="G265" s="1"/>
      <c r="H265" s="1"/>
      <c r="I265" s="1"/>
      <c r="J265" s="1" t="s">
        <v>969</v>
      </c>
      <c r="K265" s="1" t="s">
        <v>59</v>
      </c>
      <c r="L265" s="1"/>
    </row>
    <row r="266" spans="1:12">
      <c r="A266" s="1" t="s">
        <v>3631</v>
      </c>
      <c r="B266" s="1" t="s">
        <v>861</v>
      </c>
      <c r="C266" s="1" t="s">
        <v>3310</v>
      </c>
      <c r="D266" s="1">
        <v>1</v>
      </c>
      <c r="E266" s="1"/>
      <c r="F266" s="1" t="s">
        <v>20</v>
      </c>
      <c r="G266" s="1"/>
      <c r="H266" s="1"/>
      <c r="I266" s="1"/>
      <c r="J266" s="1" t="s">
        <v>971</v>
      </c>
      <c r="K266" s="1" t="s">
        <v>59</v>
      </c>
      <c r="L266" s="1"/>
    </row>
    <row r="267" spans="1:12">
      <c r="A267" s="1" t="s">
        <v>3632</v>
      </c>
      <c r="B267" s="1" t="s">
        <v>861</v>
      </c>
      <c r="C267" s="1" t="s">
        <v>3310</v>
      </c>
      <c r="D267" s="1">
        <v>1</v>
      </c>
      <c r="E267" s="1"/>
      <c r="F267" s="1" t="s">
        <v>20</v>
      </c>
      <c r="G267" s="1"/>
      <c r="H267" s="1"/>
      <c r="I267" s="1"/>
      <c r="J267" s="1" t="s">
        <v>973</v>
      </c>
      <c r="K267" s="1" t="s">
        <v>59</v>
      </c>
      <c r="L267" s="1"/>
    </row>
    <row r="268" spans="1:12">
      <c r="A268" s="1" t="s">
        <v>3633</v>
      </c>
      <c r="B268" s="1" t="s">
        <v>861</v>
      </c>
      <c r="C268" s="1" t="s">
        <v>3310</v>
      </c>
      <c r="D268" s="1">
        <v>1</v>
      </c>
      <c r="E268" s="1"/>
      <c r="F268" s="1" t="s">
        <v>20</v>
      </c>
      <c r="G268" s="1"/>
      <c r="H268" s="1"/>
      <c r="I268" s="1"/>
      <c r="J268" s="1" t="s">
        <v>975</v>
      </c>
      <c r="K268" s="1" t="s">
        <v>59</v>
      </c>
      <c r="L268" s="1"/>
    </row>
    <row r="269" spans="1:12">
      <c r="A269" s="1" t="s">
        <v>3634</v>
      </c>
      <c r="B269" s="1" t="s">
        <v>861</v>
      </c>
      <c r="C269" s="1" t="s">
        <v>3310</v>
      </c>
      <c r="D269" s="1">
        <v>1</v>
      </c>
      <c r="E269" s="1"/>
      <c r="F269" s="1" t="s">
        <v>20</v>
      </c>
      <c r="G269" s="1"/>
      <c r="H269" s="1"/>
      <c r="I269" s="1"/>
      <c r="J269" s="1" t="s">
        <v>977</v>
      </c>
      <c r="K269" s="1" t="s">
        <v>59</v>
      </c>
      <c r="L269" s="1"/>
    </row>
    <row r="270" spans="1:12">
      <c r="A270" s="1" t="s">
        <v>3635</v>
      </c>
      <c r="B270" s="1" t="s">
        <v>861</v>
      </c>
      <c r="C270" s="1" t="s">
        <v>3310</v>
      </c>
      <c r="D270" s="1">
        <v>1</v>
      </c>
      <c r="E270" s="1"/>
      <c r="F270" s="1" t="s">
        <v>20</v>
      </c>
      <c r="G270" s="1"/>
      <c r="H270" s="1"/>
      <c r="I270" s="1"/>
      <c r="J270" s="1" t="s">
        <v>979</v>
      </c>
      <c r="K270" s="1" t="s">
        <v>59</v>
      </c>
      <c r="L270" s="1"/>
    </row>
    <row r="271" spans="1:12">
      <c r="A271" s="1" t="s">
        <v>3636</v>
      </c>
      <c r="B271" s="1" t="s">
        <v>861</v>
      </c>
      <c r="C271" s="1" t="s">
        <v>3310</v>
      </c>
      <c r="D271" s="1">
        <v>1</v>
      </c>
      <c r="E271" s="1"/>
      <c r="F271" s="1" t="s">
        <v>20</v>
      </c>
      <c r="G271" s="1"/>
      <c r="H271" s="1"/>
      <c r="I271" s="1"/>
      <c r="J271" s="1" t="s">
        <v>981</v>
      </c>
      <c r="K271" s="1" t="s">
        <v>59</v>
      </c>
      <c r="L271" s="1"/>
    </row>
    <row r="272" spans="1:12">
      <c r="A272" s="1" t="s">
        <v>3637</v>
      </c>
      <c r="B272" s="1" t="s">
        <v>861</v>
      </c>
      <c r="C272" s="1" t="s">
        <v>3310</v>
      </c>
      <c r="D272" s="1">
        <v>1</v>
      </c>
      <c r="E272" s="1"/>
      <c r="F272" s="1" t="s">
        <v>20</v>
      </c>
      <c r="G272" s="1"/>
      <c r="H272" s="1"/>
      <c r="I272" s="1"/>
      <c r="J272" s="1" t="s">
        <v>983</v>
      </c>
      <c r="K272" s="1" t="s">
        <v>59</v>
      </c>
      <c r="L272" s="1"/>
    </row>
    <row r="273" spans="1:12">
      <c r="A273" s="1" t="s">
        <v>3638</v>
      </c>
      <c r="B273" s="1" t="s">
        <v>985</v>
      </c>
      <c r="C273" s="1" t="s">
        <v>3310</v>
      </c>
      <c r="D273" s="1">
        <v>1</v>
      </c>
      <c r="E273" s="1"/>
      <c r="F273" s="1" t="s">
        <v>20</v>
      </c>
      <c r="G273" s="1"/>
      <c r="H273" s="1"/>
      <c r="I273" s="1"/>
      <c r="J273" s="1" t="s">
        <v>987</v>
      </c>
      <c r="K273" s="1" t="s">
        <v>59</v>
      </c>
      <c r="L273" s="1"/>
    </row>
    <row r="274" spans="1:12">
      <c r="A274" s="1" t="s">
        <v>3639</v>
      </c>
      <c r="B274" s="1" t="s">
        <v>989</v>
      </c>
      <c r="C274" s="1" t="s">
        <v>3310</v>
      </c>
      <c r="D274" s="1">
        <v>1</v>
      </c>
      <c r="E274" s="1"/>
      <c r="F274" s="1" t="s">
        <v>20</v>
      </c>
      <c r="G274" s="1"/>
      <c r="H274" s="1"/>
      <c r="I274" s="1"/>
      <c r="J274" s="1" t="s">
        <v>990</v>
      </c>
      <c r="K274" s="1" t="s">
        <v>59</v>
      </c>
      <c r="L274" s="1"/>
    </row>
    <row r="275" spans="1:12">
      <c r="A275" s="1" t="s">
        <v>3640</v>
      </c>
      <c r="B275" s="1" t="s">
        <v>992</v>
      </c>
      <c r="C275" s="1" t="s">
        <v>3310</v>
      </c>
      <c r="D275" s="1">
        <v>1</v>
      </c>
      <c r="E275" s="1"/>
      <c r="F275" s="1" t="s">
        <v>20</v>
      </c>
      <c r="G275" s="1"/>
      <c r="H275" s="1"/>
      <c r="I275" s="1"/>
      <c r="J275" s="1" t="s">
        <v>994</v>
      </c>
      <c r="K275" s="1" t="s">
        <v>59</v>
      </c>
      <c r="L275" s="1"/>
    </row>
    <row r="276" spans="1:12">
      <c r="A276" s="1" t="s">
        <v>3641</v>
      </c>
      <c r="B276" s="1" t="s">
        <v>996</v>
      </c>
      <c r="C276" s="1" t="s">
        <v>3310</v>
      </c>
      <c r="D276" s="1">
        <v>1</v>
      </c>
      <c r="E276" s="1"/>
      <c r="F276" s="1" t="s">
        <v>20</v>
      </c>
      <c r="G276" s="1"/>
      <c r="H276" s="1"/>
      <c r="I276" s="1"/>
      <c r="J276" s="1" t="s">
        <v>997</v>
      </c>
      <c r="K276" s="1" t="s">
        <v>59</v>
      </c>
      <c r="L276" s="1"/>
    </row>
    <row r="277" spans="1:12">
      <c r="A277" s="1" t="s">
        <v>3642</v>
      </c>
      <c r="B277" s="1" t="s">
        <v>999</v>
      </c>
      <c r="C277" s="1" t="s">
        <v>3310</v>
      </c>
      <c r="D277" s="1">
        <v>1</v>
      </c>
      <c r="E277" s="1"/>
      <c r="F277" s="1" t="s">
        <v>20</v>
      </c>
      <c r="G277" s="1"/>
      <c r="H277" s="1"/>
      <c r="I277" s="1"/>
      <c r="J277" s="1" t="s">
        <v>1000</v>
      </c>
      <c r="K277" s="1" t="s">
        <v>59</v>
      </c>
      <c r="L277" s="1"/>
    </row>
    <row r="278" spans="1:12">
      <c r="A278" s="1" t="s">
        <v>3643</v>
      </c>
      <c r="B278" s="1" t="s">
        <v>1002</v>
      </c>
      <c r="C278" s="1" t="s">
        <v>3310</v>
      </c>
      <c r="D278" s="1">
        <v>1</v>
      </c>
      <c r="E278" s="1"/>
      <c r="F278" s="1" t="s">
        <v>20</v>
      </c>
      <c r="G278" s="1"/>
      <c r="H278" s="1"/>
      <c r="I278" s="1"/>
      <c r="J278" s="1" t="s">
        <v>1003</v>
      </c>
      <c r="K278" s="1" t="s">
        <v>59</v>
      </c>
      <c r="L278" s="1"/>
    </row>
    <row r="279" spans="1:12" ht="409.6">
      <c r="A279" s="1" t="s">
        <v>3644</v>
      </c>
      <c r="B279" s="1" t="s">
        <v>1005</v>
      </c>
      <c r="C279" s="1" t="s">
        <v>3320</v>
      </c>
      <c r="D279" s="1">
        <v>30</v>
      </c>
      <c r="E279" s="1">
        <v>26</v>
      </c>
      <c r="F279" s="1" t="s">
        <v>3315</v>
      </c>
      <c r="G279" s="1" t="s">
        <v>3645</v>
      </c>
      <c r="H279" s="1" t="s">
        <v>1007</v>
      </c>
      <c r="I279" s="1" t="s">
        <v>3646</v>
      </c>
      <c r="J279" s="1" t="s">
        <v>3647</v>
      </c>
      <c r="K279" s="1" t="s">
        <v>59</v>
      </c>
      <c r="L279" s="1"/>
    </row>
    <row r="280" spans="1:12" ht="102.6">
      <c r="A280" s="1" t="s">
        <v>3648</v>
      </c>
      <c r="B280" s="1" t="s">
        <v>1022</v>
      </c>
      <c r="C280" s="1" t="s">
        <v>3320</v>
      </c>
      <c r="D280" s="1">
        <v>1</v>
      </c>
      <c r="E280" s="1">
        <v>26</v>
      </c>
      <c r="F280" s="1" t="s">
        <v>20</v>
      </c>
      <c r="G280" s="1" t="s">
        <v>251</v>
      </c>
      <c r="H280" s="1" t="s">
        <v>1007</v>
      </c>
      <c r="I280" s="1" t="s">
        <v>1024</v>
      </c>
      <c r="J280" s="1" t="s">
        <v>3649</v>
      </c>
      <c r="K280" s="1" t="s">
        <v>59</v>
      </c>
      <c r="L280" s="1"/>
    </row>
    <row r="281" spans="1:12" ht="102.6">
      <c r="A281" s="1" t="s">
        <v>3650</v>
      </c>
      <c r="B281" s="1" t="s">
        <v>1035</v>
      </c>
      <c r="C281" s="1" t="s">
        <v>3310</v>
      </c>
      <c r="D281" s="1">
        <v>1</v>
      </c>
      <c r="E281" s="1"/>
      <c r="F281" s="1" t="s">
        <v>20</v>
      </c>
      <c r="G281" s="1" t="s">
        <v>614</v>
      </c>
      <c r="H281" s="1"/>
      <c r="I281" s="1"/>
      <c r="J281" s="1" t="s">
        <v>3651</v>
      </c>
      <c r="K281" s="1" t="s">
        <v>59</v>
      </c>
      <c r="L281" s="1"/>
    </row>
    <row r="282" spans="1:12">
      <c r="A282" s="1" t="s">
        <v>3652</v>
      </c>
      <c r="B282" s="1" t="s">
        <v>1040</v>
      </c>
      <c r="C282" s="1" t="s">
        <v>3310</v>
      </c>
      <c r="D282" s="1">
        <v>1</v>
      </c>
      <c r="E282" s="1"/>
      <c r="F282" s="1" t="s">
        <v>20</v>
      </c>
      <c r="G282" s="1"/>
      <c r="H282" s="1"/>
      <c r="I282" s="1"/>
      <c r="J282" s="1" t="s">
        <v>1041</v>
      </c>
      <c r="K282" s="1" t="s">
        <v>59</v>
      </c>
      <c r="L282" s="1"/>
    </row>
    <row r="283" spans="1:12">
      <c r="A283" s="1" t="s">
        <v>3653</v>
      </c>
      <c r="B283" s="1" t="s">
        <v>1043</v>
      </c>
      <c r="C283" s="1" t="s">
        <v>3310</v>
      </c>
      <c r="D283" s="1">
        <v>1</v>
      </c>
      <c r="E283" s="1"/>
      <c r="F283" s="1" t="s">
        <v>20</v>
      </c>
      <c r="G283" s="1"/>
      <c r="H283" s="1"/>
      <c r="I283" s="1"/>
      <c r="J283" s="1" t="s">
        <v>1044</v>
      </c>
      <c r="K283" s="1" t="s">
        <v>59</v>
      </c>
      <c r="L283" s="1"/>
    </row>
    <row r="284" spans="1:12" ht="57">
      <c r="A284" s="1" t="s">
        <v>3654</v>
      </c>
      <c r="B284" s="1" t="s">
        <v>1046</v>
      </c>
      <c r="C284" s="1" t="s">
        <v>3310</v>
      </c>
      <c r="D284" s="1">
        <v>1</v>
      </c>
      <c r="E284" s="1">
        <v>1</v>
      </c>
      <c r="F284" s="1" t="s">
        <v>27</v>
      </c>
      <c r="G284" s="1"/>
      <c r="H284" s="1" t="s">
        <v>1048</v>
      </c>
      <c r="I284" s="1"/>
      <c r="J284" s="1" t="s">
        <v>3655</v>
      </c>
      <c r="K284" s="1" t="s">
        <v>59</v>
      </c>
      <c r="L284" s="1"/>
    </row>
    <row r="285" spans="1:12" ht="57">
      <c r="A285" s="1" t="s">
        <v>3656</v>
      </c>
      <c r="B285" s="1" t="s">
        <v>1054</v>
      </c>
      <c r="C285" s="1" t="s">
        <v>3310</v>
      </c>
      <c r="D285" s="1">
        <v>1</v>
      </c>
      <c r="E285" s="1">
        <v>1</v>
      </c>
      <c r="F285" s="1" t="s">
        <v>27</v>
      </c>
      <c r="G285" s="1"/>
      <c r="H285" s="1" t="s">
        <v>1056</v>
      </c>
      <c r="I285" s="1"/>
      <c r="J285" s="1" t="s">
        <v>3657</v>
      </c>
      <c r="K285" s="1" t="s">
        <v>59</v>
      </c>
      <c r="L285" s="1"/>
    </row>
    <row r="286" spans="1:12" ht="409.6">
      <c r="A286" s="1" t="s">
        <v>3658</v>
      </c>
      <c r="B286" s="1" t="s">
        <v>1060</v>
      </c>
      <c r="C286" s="1" t="s">
        <v>3320</v>
      </c>
      <c r="D286" s="1">
        <v>14</v>
      </c>
      <c r="E286" s="1">
        <v>14</v>
      </c>
      <c r="F286" s="1" t="s">
        <v>3659</v>
      </c>
      <c r="G286" s="1" t="s">
        <v>3660</v>
      </c>
      <c r="H286" s="1" t="s">
        <v>3661</v>
      </c>
      <c r="I286" s="1" t="s">
        <v>3662</v>
      </c>
      <c r="J286" s="1" t="s">
        <v>3663</v>
      </c>
      <c r="K286" s="1" t="s">
        <v>59</v>
      </c>
      <c r="L286" s="1"/>
    </row>
    <row r="287" spans="1:12" ht="136.80000000000001">
      <c r="A287" s="1" t="s">
        <v>3664</v>
      </c>
      <c r="B287" s="1" t="s">
        <v>1070</v>
      </c>
      <c r="C287" s="1" t="s">
        <v>3320</v>
      </c>
      <c r="D287" s="1">
        <v>2</v>
      </c>
      <c r="E287" s="1">
        <v>3</v>
      </c>
      <c r="F287" s="1" t="s">
        <v>3659</v>
      </c>
      <c r="G287" s="1" t="s">
        <v>1218</v>
      </c>
      <c r="H287" s="1" t="s">
        <v>3665</v>
      </c>
      <c r="I287" s="1" t="s">
        <v>2793</v>
      </c>
      <c r="J287" s="1" t="s">
        <v>3666</v>
      </c>
      <c r="K287" s="1" t="s">
        <v>59</v>
      </c>
      <c r="L287" s="1"/>
    </row>
    <row r="288" spans="1:12" ht="57">
      <c r="A288" s="1" t="s">
        <v>3667</v>
      </c>
      <c r="B288" s="1" t="s">
        <v>1075</v>
      </c>
      <c r="C288" s="1" t="s">
        <v>3310</v>
      </c>
      <c r="D288" s="1">
        <v>1</v>
      </c>
      <c r="E288" s="1">
        <v>1</v>
      </c>
      <c r="F288" s="1" t="s">
        <v>27</v>
      </c>
      <c r="G288" s="1"/>
      <c r="H288" s="1" t="s">
        <v>1072</v>
      </c>
      <c r="I288" s="1"/>
      <c r="J288" s="1" t="s">
        <v>3668</v>
      </c>
      <c r="K288" s="1" t="s">
        <v>59</v>
      </c>
      <c r="L288" s="1"/>
    </row>
    <row r="289" spans="1:12" ht="57">
      <c r="A289" s="1" t="s">
        <v>3669</v>
      </c>
      <c r="B289" s="1" t="s">
        <v>1080</v>
      </c>
      <c r="C289" s="1" t="s">
        <v>3310</v>
      </c>
      <c r="D289" s="1">
        <v>1</v>
      </c>
      <c r="E289" s="1">
        <v>1</v>
      </c>
      <c r="F289" s="1" t="s">
        <v>27</v>
      </c>
      <c r="G289" s="1"/>
      <c r="H289" s="1" t="s">
        <v>1082</v>
      </c>
      <c r="I289" s="1"/>
      <c r="J289" s="1" t="s">
        <v>3670</v>
      </c>
      <c r="K289" s="1" t="s">
        <v>59</v>
      </c>
      <c r="L289" s="1"/>
    </row>
    <row r="290" spans="1:12">
      <c r="A290" s="1" t="s">
        <v>3671</v>
      </c>
      <c r="B290" s="1" t="s">
        <v>1085</v>
      </c>
      <c r="C290" s="1" t="s">
        <v>3310</v>
      </c>
      <c r="D290" s="1">
        <v>1</v>
      </c>
      <c r="E290" s="1">
        <v>1</v>
      </c>
      <c r="F290" s="1" t="s">
        <v>27</v>
      </c>
      <c r="G290" s="1"/>
      <c r="H290" s="1" t="s">
        <v>1087</v>
      </c>
      <c r="I290" s="1"/>
      <c r="J290" s="1" t="s">
        <v>1088</v>
      </c>
      <c r="K290" s="1" t="s">
        <v>59</v>
      </c>
      <c r="L290" s="1"/>
    </row>
    <row r="291" spans="1:12" ht="57">
      <c r="A291" s="1" t="s">
        <v>3672</v>
      </c>
      <c r="B291" s="1" t="s">
        <v>1090</v>
      </c>
      <c r="C291" s="1" t="s">
        <v>3310</v>
      </c>
      <c r="D291" s="1">
        <v>1</v>
      </c>
      <c r="E291" s="1">
        <v>1</v>
      </c>
      <c r="F291" s="1" t="s">
        <v>27</v>
      </c>
      <c r="G291" s="1"/>
      <c r="H291" s="1" t="s">
        <v>1092</v>
      </c>
      <c r="I291" s="1"/>
      <c r="J291" s="1" t="s">
        <v>3673</v>
      </c>
      <c r="K291" s="1" t="s">
        <v>59</v>
      </c>
      <c r="L291" s="1"/>
    </row>
    <row r="292" spans="1:12" ht="57">
      <c r="A292" s="1" t="s">
        <v>3674</v>
      </c>
      <c r="B292" s="1" t="s">
        <v>1096</v>
      </c>
      <c r="C292" s="1" t="s">
        <v>3310</v>
      </c>
      <c r="D292" s="1">
        <v>1</v>
      </c>
      <c r="E292" s="1">
        <v>1</v>
      </c>
      <c r="F292" s="1" t="s">
        <v>27</v>
      </c>
      <c r="G292" s="1"/>
      <c r="H292" s="1" t="s">
        <v>1098</v>
      </c>
      <c r="I292" s="1"/>
      <c r="J292" s="1" t="s">
        <v>3675</v>
      </c>
      <c r="K292" s="1" t="s">
        <v>59</v>
      </c>
      <c r="L292" s="1"/>
    </row>
    <row r="293" spans="1:12" ht="57">
      <c r="A293" s="1" t="s">
        <v>3676</v>
      </c>
      <c r="B293" s="1" t="s">
        <v>1101</v>
      </c>
      <c r="C293" s="1" t="s">
        <v>3310</v>
      </c>
      <c r="D293" s="1">
        <v>1</v>
      </c>
      <c r="E293" s="1">
        <v>1</v>
      </c>
      <c r="F293" s="1" t="s">
        <v>27</v>
      </c>
      <c r="G293" s="1"/>
      <c r="H293" s="1" t="s">
        <v>1103</v>
      </c>
      <c r="I293" s="1"/>
      <c r="J293" s="1" t="s">
        <v>3677</v>
      </c>
      <c r="K293" s="1" t="s">
        <v>59</v>
      </c>
      <c r="L293" s="1"/>
    </row>
    <row r="294" spans="1:12" ht="57">
      <c r="A294" s="1" t="s">
        <v>3678</v>
      </c>
      <c r="B294" s="1" t="s">
        <v>1106</v>
      </c>
      <c r="C294" s="1" t="s">
        <v>3310</v>
      </c>
      <c r="D294" s="1">
        <v>1</v>
      </c>
      <c r="E294" s="1">
        <v>1</v>
      </c>
      <c r="F294" s="1" t="s">
        <v>27</v>
      </c>
      <c r="G294" s="1"/>
      <c r="H294" s="1" t="s">
        <v>1108</v>
      </c>
      <c r="I294" s="1"/>
      <c r="J294" s="1" t="s">
        <v>3679</v>
      </c>
      <c r="K294" s="1" t="s">
        <v>59</v>
      </c>
      <c r="L294" s="1"/>
    </row>
    <row r="295" spans="1:12">
      <c r="A295" s="1" t="s">
        <v>3680</v>
      </c>
      <c r="B295" s="1" t="s">
        <v>1111</v>
      </c>
      <c r="C295" s="1" t="s">
        <v>3310</v>
      </c>
      <c r="D295" s="1">
        <v>1</v>
      </c>
      <c r="E295" s="1">
        <v>1</v>
      </c>
      <c r="F295" s="1" t="s">
        <v>27</v>
      </c>
      <c r="G295" s="1"/>
      <c r="H295" s="1" t="s">
        <v>1113</v>
      </c>
      <c r="I295" s="1"/>
      <c r="J295" s="1" t="s">
        <v>1114</v>
      </c>
      <c r="K295" s="1" t="s">
        <v>59</v>
      </c>
      <c r="L295" s="1"/>
    </row>
    <row r="296" spans="1:12">
      <c r="A296" s="1" t="s">
        <v>3681</v>
      </c>
      <c r="B296" s="1" t="s">
        <v>1116</v>
      </c>
      <c r="C296" s="1" t="s">
        <v>3310</v>
      </c>
      <c r="D296" s="1">
        <v>1</v>
      </c>
      <c r="E296" s="1">
        <v>1</v>
      </c>
      <c r="F296" s="1" t="s">
        <v>29</v>
      </c>
      <c r="G296" s="1"/>
      <c r="H296" s="1" t="s">
        <v>1118</v>
      </c>
      <c r="I296" s="1"/>
      <c r="J296" s="1" t="s">
        <v>1119</v>
      </c>
      <c r="K296" s="1" t="s">
        <v>59</v>
      </c>
      <c r="L296" s="1"/>
    </row>
    <row r="297" spans="1:12" ht="22.8">
      <c r="A297" s="1" t="s">
        <v>3682</v>
      </c>
      <c r="B297" s="1" t="s">
        <v>1126</v>
      </c>
      <c r="C297" s="1" t="s">
        <v>3310</v>
      </c>
      <c r="D297" s="1">
        <v>1</v>
      </c>
      <c r="E297" s="1">
        <v>1</v>
      </c>
      <c r="F297" s="1" t="s">
        <v>29</v>
      </c>
      <c r="G297" s="1"/>
      <c r="H297" s="1" t="s">
        <v>1128</v>
      </c>
      <c r="I297" s="1"/>
      <c r="J297" s="1" t="s">
        <v>3683</v>
      </c>
      <c r="K297" s="1" t="s">
        <v>59</v>
      </c>
      <c r="L297" s="1"/>
    </row>
    <row r="298" spans="1:12" ht="102.6">
      <c r="A298" s="1" t="s">
        <v>3684</v>
      </c>
      <c r="B298" s="1" t="s">
        <v>1139</v>
      </c>
      <c r="C298" s="1" t="s">
        <v>3314</v>
      </c>
      <c r="D298" s="1">
        <v>2</v>
      </c>
      <c r="E298" s="1">
        <v>1</v>
      </c>
      <c r="F298" s="1" t="s">
        <v>29</v>
      </c>
      <c r="G298" s="1" t="s">
        <v>403</v>
      </c>
      <c r="H298" s="1" t="s">
        <v>2787</v>
      </c>
      <c r="I298" s="1"/>
      <c r="J298" s="1" t="s">
        <v>3685</v>
      </c>
      <c r="K298" s="1" t="s">
        <v>59</v>
      </c>
      <c r="L298" s="1" t="s">
        <v>3317</v>
      </c>
    </row>
    <row r="299" spans="1:12" ht="57">
      <c r="A299" s="1" t="s">
        <v>3686</v>
      </c>
      <c r="B299" s="1" t="s">
        <v>1149</v>
      </c>
      <c r="C299" s="1" t="s">
        <v>3310</v>
      </c>
      <c r="D299" s="1">
        <v>1</v>
      </c>
      <c r="E299" s="1">
        <v>1</v>
      </c>
      <c r="F299" s="1" t="s">
        <v>29</v>
      </c>
      <c r="G299" s="1"/>
      <c r="H299" s="1" t="s">
        <v>1151</v>
      </c>
      <c r="I299" s="1"/>
      <c r="J299" s="1" t="s">
        <v>3687</v>
      </c>
      <c r="K299" s="1" t="s">
        <v>59</v>
      </c>
      <c r="L299" s="1"/>
    </row>
    <row r="300" spans="1:12" ht="114">
      <c r="A300" s="1" t="s">
        <v>3688</v>
      </c>
      <c r="B300" s="1" t="s">
        <v>1154</v>
      </c>
      <c r="C300" s="1" t="s">
        <v>3320</v>
      </c>
      <c r="D300" s="1">
        <v>3</v>
      </c>
      <c r="E300" s="1">
        <v>3</v>
      </c>
      <c r="F300" s="1" t="s">
        <v>29</v>
      </c>
      <c r="G300" s="1" t="s">
        <v>251</v>
      </c>
      <c r="H300" s="1" t="s">
        <v>3689</v>
      </c>
      <c r="I300" s="1" t="s">
        <v>3690</v>
      </c>
      <c r="J300" s="1" t="s">
        <v>3691</v>
      </c>
      <c r="K300" s="1" t="s">
        <v>59</v>
      </c>
      <c r="L300" s="1"/>
    </row>
    <row r="301" spans="1:12" ht="182.4">
      <c r="A301" s="1" t="s">
        <v>3692</v>
      </c>
      <c r="B301" s="1" t="s">
        <v>1162</v>
      </c>
      <c r="C301" s="1" t="s">
        <v>3320</v>
      </c>
      <c r="D301" s="1">
        <v>2</v>
      </c>
      <c r="E301" s="1">
        <v>2</v>
      </c>
      <c r="F301" s="1" t="s">
        <v>3693</v>
      </c>
      <c r="G301" s="1" t="s">
        <v>403</v>
      </c>
      <c r="H301" s="1" t="s">
        <v>1164</v>
      </c>
      <c r="I301" s="1" t="s">
        <v>3694</v>
      </c>
      <c r="J301" s="1" t="s">
        <v>3695</v>
      </c>
      <c r="K301" s="1" t="s">
        <v>59</v>
      </c>
      <c r="L301" s="1"/>
    </row>
    <row r="302" spans="1:12">
      <c r="A302" s="1" t="s">
        <v>3696</v>
      </c>
      <c r="B302" s="1" t="s">
        <v>1170</v>
      </c>
      <c r="C302" s="1" t="s">
        <v>3310</v>
      </c>
      <c r="D302" s="1">
        <v>1</v>
      </c>
      <c r="E302" s="1"/>
      <c r="F302" s="1" t="s">
        <v>22</v>
      </c>
      <c r="G302" s="1"/>
      <c r="H302" s="1"/>
      <c r="I302" s="1"/>
      <c r="J302" s="1" t="s">
        <v>1171</v>
      </c>
      <c r="K302" s="1" t="s">
        <v>59</v>
      </c>
      <c r="L302" s="1"/>
    </row>
    <row r="303" spans="1:12">
      <c r="A303" s="1" t="s">
        <v>3697</v>
      </c>
      <c r="B303" s="1" t="s">
        <v>1173</v>
      </c>
      <c r="C303" s="1" t="s">
        <v>3310</v>
      </c>
      <c r="D303" s="1">
        <v>1</v>
      </c>
      <c r="E303" s="1"/>
      <c r="F303" s="1" t="s">
        <v>22</v>
      </c>
      <c r="G303" s="1"/>
      <c r="H303" s="1"/>
      <c r="I303" s="1"/>
      <c r="J303" s="1" t="s">
        <v>1175</v>
      </c>
      <c r="K303" s="1" t="s">
        <v>59</v>
      </c>
      <c r="L303" s="1"/>
    </row>
    <row r="304" spans="1:12" ht="57">
      <c r="A304" s="1" t="s">
        <v>3698</v>
      </c>
      <c r="B304" s="1" t="s">
        <v>1177</v>
      </c>
      <c r="C304" s="1" t="s">
        <v>3320</v>
      </c>
      <c r="D304" s="1">
        <v>2</v>
      </c>
      <c r="E304" s="1">
        <v>1</v>
      </c>
      <c r="F304" s="1" t="s">
        <v>3699</v>
      </c>
      <c r="G304" s="1"/>
      <c r="H304" s="1" t="s">
        <v>1631</v>
      </c>
      <c r="I304" s="1"/>
      <c r="J304" s="1" t="s">
        <v>3700</v>
      </c>
      <c r="K304" s="1" t="s">
        <v>59</v>
      </c>
      <c r="L304" s="1"/>
    </row>
    <row r="305" spans="1:12">
      <c r="A305" s="1" t="s">
        <v>3701</v>
      </c>
      <c r="B305" s="1" t="s">
        <v>1188</v>
      </c>
      <c r="C305" s="1" t="s">
        <v>3310</v>
      </c>
      <c r="D305" s="1">
        <v>1</v>
      </c>
      <c r="E305" s="1"/>
      <c r="F305" s="1" t="s">
        <v>22</v>
      </c>
      <c r="G305" s="1"/>
      <c r="H305" s="1"/>
      <c r="I305" s="1"/>
      <c r="J305" s="1" t="s">
        <v>1189</v>
      </c>
      <c r="K305" s="1" t="s">
        <v>59</v>
      </c>
      <c r="L305" s="1"/>
    </row>
    <row r="306" spans="1:12">
      <c r="A306" s="1" t="s">
        <v>3702</v>
      </c>
      <c r="B306" s="1" t="s">
        <v>1191</v>
      </c>
      <c r="C306" s="1" t="s">
        <v>3320</v>
      </c>
      <c r="D306" s="1">
        <v>1</v>
      </c>
      <c r="E306" s="1"/>
      <c r="F306" s="1" t="s">
        <v>22</v>
      </c>
      <c r="G306" s="1"/>
      <c r="H306" s="1"/>
      <c r="I306" s="1"/>
      <c r="J306" s="1" t="s">
        <v>1193</v>
      </c>
      <c r="K306" s="1" t="s">
        <v>59</v>
      </c>
      <c r="L306" s="1"/>
    </row>
    <row r="307" spans="1:12" ht="376.2">
      <c r="A307" s="1" t="s">
        <v>3703</v>
      </c>
      <c r="B307" s="1" t="s">
        <v>1195</v>
      </c>
      <c r="C307" s="1" t="s">
        <v>3320</v>
      </c>
      <c r="D307" s="1">
        <v>4</v>
      </c>
      <c r="E307" s="1">
        <v>4</v>
      </c>
      <c r="F307" s="1" t="s">
        <v>22</v>
      </c>
      <c r="G307" s="1" t="s">
        <v>3704</v>
      </c>
      <c r="H307" s="1" t="s">
        <v>3705</v>
      </c>
      <c r="I307" s="1" t="s">
        <v>3706</v>
      </c>
      <c r="J307" s="1" t="s">
        <v>3707</v>
      </c>
      <c r="K307" s="1" t="s">
        <v>59</v>
      </c>
      <c r="L307" s="1"/>
    </row>
    <row r="308" spans="1:12" ht="22.8">
      <c r="A308" s="1" t="s">
        <v>3708</v>
      </c>
      <c r="B308" s="1" t="s">
        <v>1203</v>
      </c>
      <c r="C308" s="1" t="s">
        <v>3320</v>
      </c>
      <c r="D308" s="1">
        <v>2</v>
      </c>
      <c r="E308" s="1"/>
      <c r="F308" s="1" t="s">
        <v>22</v>
      </c>
      <c r="G308" s="1"/>
      <c r="H308" s="1"/>
      <c r="I308" s="1"/>
      <c r="J308" s="1" t="s">
        <v>3709</v>
      </c>
      <c r="K308" s="1" t="s">
        <v>59</v>
      </c>
      <c r="L308" s="1"/>
    </row>
    <row r="309" spans="1:12">
      <c r="A309" s="1" t="s">
        <v>3710</v>
      </c>
      <c r="B309" s="1" t="s">
        <v>1208</v>
      </c>
      <c r="C309" s="1" t="s">
        <v>3310</v>
      </c>
      <c r="D309" s="1">
        <v>1</v>
      </c>
      <c r="E309" s="1"/>
      <c r="F309" s="1" t="s">
        <v>22</v>
      </c>
      <c r="G309" s="1"/>
      <c r="H309" s="1"/>
      <c r="I309" s="1"/>
      <c r="J309" s="1" t="s">
        <v>1209</v>
      </c>
      <c r="K309" s="1" t="s">
        <v>59</v>
      </c>
      <c r="L309" s="1"/>
    </row>
    <row r="310" spans="1:12" ht="79.8">
      <c r="A310" s="1" t="s">
        <v>3711</v>
      </c>
      <c r="B310" s="1" t="s">
        <v>1211</v>
      </c>
      <c r="C310" s="1" t="s">
        <v>3320</v>
      </c>
      <c r="D310" s="1">
        <v>2</v>
      </c>
      <c r="E310" s="1">
        <v>1</v>
      </c>
      <c r="F310" s="1" t="s">
        <v>3699</v>
      </c>
      <c r="G310" s="1"/>
      <c r="H310" s="1" t="s">
        <v>1669</v>
      </c>
      <c r="I310" s="1"/>
      <c r="J310" s="1" t="s">
        <v>3712</v>
      </c>
      <c r="K310" s="1" t="s">
        <v>59</v>
      </c>
      <c r="L310" s="1"/>
    </row>
    <row r="311" spans="1:12">
      <c r="A311" s="1" t="s">
        <v>3713</v>
      </c>
      <c r="B311" s="1" t="s">
        <v>1214</v>
      </c>
      <c r="C311" s="1" t="s">
        <v>3310</v>
      </c>
      <c r="D311" s="1">
        <v>1</v>
      </c>
      <c r="E311" s="1"/>
      <c r="F311" s="1" t="s">
        <v>22</v>
      </c>
      <c r="G311" s="1"/>
      <c r="H311" s="1"/>
      <c r="I311" s="1"/>
      <c r="J311" s="1" t="s">
        <v>1215</v>
      </c>
      <c r="K311" s="1" t="s">
        <v>59</v>
      </c>
      <c r="L311" s="1"/>
    </row>
    <row r="312" spans="1:12">
      <c r="A312" s="1" t="s">
        <v>3714</v>
      </c>
      <c r="B312" s="1" t="s">
        <v>1225</v>
      </c>
      <c r="C312" s="1" t="s">
        <v>3310</v>
      </c>
      <c r="D312" s="1">
        <v>1</v>
      </c>
      <c r="E312" s="1"/>
      <c r="F312" s="1" t="s">
        <v>22</v>
      </c>
      <c r="G312" s="1"/>
      <c r="H312" s="1"/>
      <c r="I312" s="1"/>
      <c r="J312" s="1" t="s">
        <v>1226</v>
      </c>
      <c r="K312" s="1" t="s">
        <v>59</v>
      </c>
      <c r="L312" s="1"/>
    </row>
    <row r="313" spans="1:12" ht="91.2">
      <c r="A313" s="1" t="s">
        <v>3715</v>
      </c>
      <c r="B313" s="1" t="s">
        <v>1228</v>
      </c>
      <c r="C313" s="1" t="s">
        <v>3310</v>
      </c>
      <c r="D313" s="1">
        <v>1</v>
      </c>
      <c r="E313" s="1">
        <v>1</v>
      </c>
      <c r="F313" s="1" t="s">
        <v>22</v>
      </c>
      <c r="G313" s="1" t="s">
        <v>614</v>
      </c>
      <c r="H313" s="1" t="s">
        <v>1230</v>
      </c>
      <c r="I313" s="1"/>
      <c r="J313" s="1" t="s">
        <v>3716</v>
      </c>
      <c r="K313" s="1" t="s">
        <v>59</v>
      </c>
      <c r="L313" s="1"/>
    </row>
    <row r="314" spans="1:12" ht="102.6">
      <c r="A314" s="1" t="s">
        <v>3717</v>
      </c>
      <c r="B314" s="1" t="s">
        <v>1234</v>
      </c>
      <c r="C314" s="1" t="s">
        <v>3310</v>
      </c>
      <c r="D314" s="1">
        <v>1</v>
      </c>
      <c r="E314" s="1">
        <v>1</v>
      </c>
      <c r="F314" s="1" t="s">
        <v>22</v>
      </c>
      <c r="G314" s="1" t="s">
        <v>251</v>
      </c>
      <c r="H314" s="1" t="s">
        <v>615</v>
      </c>
      <c r="I314" s="1"/>
      <c r="J314" s="1" t="s">
        <v>3718</v>
      </c>
      <c r="K314" s="1" t="s">
        <v>59</v>
      </c>
      <c r="L314" s="1"/>
    </row>
    <row r="315" spans="1:12" ht="91.2">
      <c r="A315" s="1" t="s">
        <v>3719</v>
      </c>
      <c r="B315" s="1" t="s">
        <v>1241</v>
      </c>
      <c r="C315" s="1" t="s">
        <v>3310</v>
      </c>
      <c r="D315" s="1">
        <v>1</v>
      </c>
      <c r="E315" s="1">
        <v>1</v>
      </c>
      <c r="F315" s="1" t="s">
        <v>22</v>
      </c>
      <c r="G315" s="1" t="s">
        <v>1218</v>
      </c>
      <c r="H315" s="1" t="s">
        <v>1243</v>
      </c>
      <c r="I315" s="1"/>
      <c r="J315" s="1" t="s">
        <v>3720</v>
      </c>
      <c r="K315" s="1" t="s">
        <v>59</v>
      </c>
      <c r="L315" s="1"/>
    </row>
    <row r="316" spans="1:12">
      <c r="A316" s="1" t="s">
        <v>3721</v>
      </c>
      <c r="B316" s="1" t="s">
        <v>1247</v>
      </c>
      <c r="C316" s="1" t="s">
        <v>3310</v>
      </c>
      <c r="D316" s="1">
        <v>1</v>
      </c>
      <c r="E316" s="1"/>
      <c r="F316" s="1" t="s">
        <v>22</v>
      </c>
      <c r="G316" s="1"/>
      <c r="H316" s="1"/>
      <c r="I316" s="1"/>
      <c r="J316" s="1" t="s">
        <v>1248</v>
      </c>
      <c r="K316" s="1" t="s">
        <v>59</v>
      </c>
      <c r="L316" s="1"/>
    </row>
    <row r="317" spans="1:12">
      <c r="A317" s="1" t="s">
        <v>3722</v>
      </c>
      <c r="B317" s="1" t="s">
        <v>1257</v>
      </c>
      <c r="C317" s="1" t="s">
        <v>3310</v>
      </c>
      <c r="D317" s="1">
        <v>1</v>
      </c>
      <c r="E317" s="1"/>
      <c r="F317" s="1" t="s">
        <v>22</v>
      </c>
      <c r="G317" s="1"/>
      <c r="H317" s="1"/>
      <c r="I317" s="1"/>
      <c r="J317" s="1" t="s">
        <v>1258</v>
      </c>
      <c r="K317" s="1" t="s">
        <v>59</v>
      </c>
      <c r="L317" s="1"/>
    </row>
    <row r="318" spans="1:12" ht="22.8">
      <c r="A318" s="1" t="s">
        <v>3723</v>
      </c>
      <c r="B318" s="1" t="s">
        <v>1260</v>
      </c>
      <c r="C318" s="1" t="s">
        <v>3310</v>
      </c>
      <c r="D318" s="1">
        <v>1</v>
      </c>
      <c r="E318" s="1"/>
      <c r="F318" s="1" t="s">
        <v>22</v>
      </c>
      <c r="G318" s="1"/>
      <c r="H318" s="1"/>
      <c r="I318" s="1"/>
      <c r="J318" s="1" t="s">
        <v>3724</v>
      </c>
      <c r="K318" s="1" t="s">
        <v>59</v>
      </c>
      <c r="L318" s="1"/>
    </row>
    <row r="319" spans="1:12" ht="182.4">
      <c r="A319" s="1" t="s">
        <v>3725</v>
      </c>
      <c r="B319" s="1" t="s">
        <v>1265</v>
      </c>
      <c r="C319" s="1" t="s">
        <v>3314</v>
      </c>
      <c r="D319" s="1">
        <v>2</v>
      </c>
      <c r="E319" s="1">
        <v>1</v>
      </c>
      <c r="F319" s="1" t="s">
        <v>22</v>
      </c>
      <c r="G319" s="1" t="s">
        <v>1218</v>
      </c>
      <c r="H319" s="1" t="s">
        <v>3726</v>
      </c>
      <c r="I319" s="1" t="s">
        <v>2807</v>
      </c>
      <c r="J319" s="1" t="s">
        <v>3727</v>
      </c>
      <c r="K319" s="1" t="s">
        <v>59</v>
      </c>
      <c r="L319" s="1" t="s">
        <v>3317</v>
      </c>
    </row>
    <row r="320" spans="1:12" ht="376.2">
      <c r="A320" s="1" t="s">
        <v>3728</v>
      </c>
      <c r="B320" s="1" t="s">
        <v>1273</v>
      </c>
      <c r="C320" s="1" t="s">
        <v>3320</v>
      </c>
      <c r="D320" s="1">
        <v>5</v>
      </c>
      <c r="E320" s="1">
        <v>4</v>
      </c>
      <c r="F320" s="1" t="s">
        <v>22</v>
      </c>
      <c r="G320" s="1" t="s">
        <v>3729</v>
      </c>
      <c r="H320" s="1" t="s">
        <v>3730</v>
      </c>
      <c r="I320" s="1" t="s">
        <v>3731</v>
      </c>
      <c r="J320" s="1" t="s">
        <v>3732</v>
      </c>
      <c r="K320" s="1" t="s">
        <v>59</v>
      </c>
      <c r="L320" s="1"/>
    </row>
    <row r="321" spans="1:12">
      <c r="A321" s="1" t="s">
        <v>3733</v>
      </c>
      <c r="B321" s="1" t="s">
        <v>1289</v>
      </c>
      <c r="C321" s="1" t="s">
        <v>3310</v>
      </c>
      <c r="D321" s="1">
        <v>1</v>
      </c>
      <c r="E321" s="1"/>
      <c r="F321" s="1" t="s">
        <v>22</v>
      </c>
      <c r="G321" s="1"/>
      <c r="H321" s="1"/>
      <c r="I321" s="1"/>
      <c r="J321" s="1" t="s">
        <v>1291</v>
      </c>
      <c r="K321" s="1" t="s">
        <v>59</v>
      </c>
      <c r="L321" s="1"/>
    </row>
    <row r="322" spans="1:12" ht="102.6">
      <c r="A322" s="1" t="s">
        <v>3734</v>
      </c>
      <c r="B322" s="1" t="s">
        <v>1293</v>
      </c>
      <c r="C322" s="1" t="s">
        <v>3310</v>
      </c>
      <c r="D322" s="1">
        <v>1</v>
      </c>
      <c r="E322" s="1"/>
      <c r="F322" s="1" t="s">
        <v>22</v>
      </c>
      <c r="G322" s="1" t="s">
        <v>1295</v>
      </c>
      <c r="H322" s="1" t="s">
        <v>1296</v>
      </c>
      <c r="I322" s="1"/>
      <c r="J322" s="1" t="s">
        <v>3735</v>
      </c>
      <c r="K322" s="1" t="s">
        <v>59</v>
      </c>
      <c r="L322" s="1"/>
    </row>
    <row r="323" spans="1:12" ht="91.2">
      <c r="A323" s="1" t="s">
        <v>3736</v>
      </c>
      <c r="B323" s="1" t="s">
        <v>1301</v>
      </c>
      <c r="C323" s="1" t="s">
        <v>3310</v>
      </c>
      <c r="D323" s="1">
        <v>1</v>
      </c>
      <c r="E323" s="1">
        <v>1</v>
      </c>
      <c r="F323" s="1" t="s">
        <v>22</v>
      </c>
      <c r="G323" s="1" t="s">
        <v>403</v>
      </c>
      <c r="H323" s="1" t="s">
        <v>1303</v>
      </c>
      <c r="I323" s="1"/>
      <c r="J323" s="1" t="s">
        <v>3737</v>
      </c>
      <c r="K323" s="1" t="s">
        <v>59</v>
      </c>
      <c r="L323" s="1"/>
    </row>
    <row r="324" spans="1:12">
      <c r="A324" s="1" t="s">
        <v>3738</v>
      </c>
      <c r="B324" s="1" t="s">
        <v>1306</v>
      </c>
      <c r="C324" s="1" t="s">
        <v>3310</v>
      </c>
      <c r="D324" s="1">
        <v>1</v>
      </c>
      <c r="E324" s="1"/>
      <c r="F324" s="1" t="s">
        <v>22</v>
      </c>
      <c r="G324" s="1"/>
      <c r="H324" s="1"/>
      <c r="I324" s="1"/>
      <c r="J324" s="1" t="s">
        <v>1307</v>
      </c>
      <c r="K324" s="1" t="s">
        <v>59</v>
      </c>
      <c r="L324" s="1"/>
    </row>
    <row r="325" spans="1:12">
      <c r="A325" s="1" t="s">
        <v>3739</v>
      </c>
      <c r="B325" s="1" t="s">
        <v>1309</v>
      </c>
      <c r="C325" s="1" t="s">
        <v>3310</v>
      </c>
      <c r="D325" s="1">
        <v>1</v>
      </c>
      <c r="E325" s="1"/>
      <c r="F325" s="1" t="s">
        <v>22</v>
      </c>
      <c r="G325" s="1"/>
      <c r="H325" s="1"/>
      <c r="I325" s="1"/>
      <c r="J325" s="1" t="s">
        <v>1310</v>
      </c>
      <c r="K325" s="1" t="s">
        <v>59</v>
      </c>
      <c r="L325" s="1"/>
    </row>
    <row r="326" spans="1:12" ht="102.6">
      <c r="A326" s="1" t="s">
        <v>3740</v>
      </c>
      <c r="B326" s="1" t="s">
        <v>1312</v>
      </c>
      <c r="C326" s="1" t="s">
        <v>3310</v>
      </c>
      <c r="D326" s="1">
        <v>1</v>
      </c>
      <c r="E326" s="1"/>
      <c r="F326" s="1" t="s">
        <v>22</v>
      </c>
      <c r="G326" s="1" t="s">
        <v>251</v>
      </c>
      <c r="H326" s="1" t="s">
        <v>1164</v>
      </c>
      <c r="I326" s="1"/>
      <c r="J326" s="1" t="s">
        <v>3741</v>
      </c>
      <c r="K326" s="1" t="s">
        <v>59</v>
      </c>
      <c r="L326" s="1"/>
    </row>
    <row r="327" spans="1:12">
      <c r="A327" s="1" t="s">
        <v>3742</v>
      </c>
      <c r="B327" s="1" t="s">
        <v>1317</v>
      </c>
      <c r="C327" s="1" t="s">
        <v>3310</v>
      </c>
      <c r="D327" s="1">
        <v>1</v>
      </c>
      <c r="E327" s="1"/>
      <c r="F327" s="1" t="s">
        <v>22</v>
      </c>
      <c r="G327" s="1"/>
      <c r="H327" s="1"/>
      <c r="I327" s="1"/>
      <c r="J327" s="1" t="s">
        <v>1318</v>
      </c>
      <c r="K327" s="1" t="s">
        <v>59</v>
      </c>
      <c r="L327" s="1"/>
    </row>
    <row r="328" spans="1:12">
      <c r="A328" s="1" t="s">
        <v>3743</v>
      </c>
      <c r="B328" s="1" t="s">
        <v>1320</v>
      </c>
      <c r="C328" s="1" t="s">
        <v>3310</v>
      </c>
      <c r="D328" s="1">
        <v>1</v>
      </c>
      <c r="E328" s="1"/>
      <c r="F328" s="1" t="s">
        <v>22</v>
      </c>
      <c r="G328" s="1"/>
      <c r="H328" s="1"/>
      <c r="I328" s="1"/>
      <c r="J328" s="1" t="s">
        <v>1322</v>
      </c>
      <c r="K328" s="1" t="s">
        <v>59</v>
      </c>
      <c r="L328" s="1"/>
    </row>
    <row r="329" spans="1:12">
      <c r="A329" s="1" t="s">
        <v>3744</v>
      </c>
      <c r="B329" s="1" t="s">
        <v>861</v>
      </c>
      <c r="C329" s="1" t="s">
        <v>3310</v>
      </c>
      <c r="D329" s="1">
        <v>1</v>
      </c>
      <c r="E329" s="1"/>
      <c r="F329" s="1" t="s">
        <v>22</v>
      </c>
      <c r="G329" s="1"/>
      <c r="H329" s="1"/>
      <c r="I329" s="1"/>
      <c r="J329" s="1" t="s">
        <v>1325</v>
      </c>
      <c r="K329" s="1" t="s">
        <v>59</v>
      </c>
      <c r="L329" s="1"/>
    </row>
    <row r="330" spans="1:12">
      <c r="A330" s="1" t="s">
        <v>3745</v>
      </c>
      <c r="B330" s="1" t="s">
        <v>861</v>
      </c>
      <c r="C330" s="1" t="s">
        <v>3310</v>
      </c>
      <c r="D330" s="1">
        <v>1</v>
      </c>
      <c r="E330" s="1"/>
      <c r="F330" s="1" t="s">
        <v>22</v>
      </c>
      <c r="G330" s="1"/>
      <c r="H330" s="1"/>
      <c r="I330" s="1"/>
      <c r="J330" s="1" t="s">
        <v>1327</v>
      </c>
      <c r="K330" s="1" t="s">
        <v>59</v>
      </c>
      <c r="L330" s="1"/>
    </row>
    <row r="331" spans="1:12">
      <c r="A331" s="1" t="s">
        <v>3746</v>
      </c>
      <c r="B331" s="1" t="s">
        <v>861</v>
      </c>
      <c r="C331" s="1" t="s">
        <v>3310</v>
      </c>
      <c r="D331" s="1">
        <v>1</v>
      </c>
      <c r="E331" s="1"/>
      <c r="F331" s="1" t="s">
        <v>22</v>
      </c>
      <c r="G331" s="1"/>
      <c r="H331" s="1"/>
      <c r="I331" s="1"/>
      <c r="J331" s="1" t="s">
        <v>1329</v>
      </c>
      <c r="K331" s="1" t="s">
        <v>59</v>
      </c>
      <c r="L331" s="1"/>
    </row>
    <row r="332" spans="1:12">
      <c r="A332" s="1" t="s">
        <v>3747</v>
      </c>
      <c r="B332" s="1" t="s">
        <v>861</v>
      </c>
      <c r="C332" s="1" t="s">
        <v>3310</v>
      </c>
      <c r="D332" s="1">
        <v>1</v>
      </c>
      <c r="E332" s="1"/>
      <c r="F332" s="1" t="s">
        <v>22</v>
      </c>
      <c r="G332" s="1"/>
      <c r="H332" s="1"/>
      <c r="I332" s="1"/>
      <c r="J332" s="1" t="s">
        <v>1331</v>
      </c>
      <c r="K332" s="1" t="s">
        <v>59</v>
      </c>
      <c r="L332" s="1"/>
    </row>
    <row r="333" spans="1:12">
      <c r="A333" s="1" t="s">
        <v>3748</v>
      </c>
      <c r="B333" s="1" t="s">
        <v>861</v>
      </c>
      <c r="C333" s="1" t="s">
        <v>3310</v>
      </c>
      <c r="D333" s="1">
        <v>1</v>
      </c>
      <c r="E333" s="1"/>
      <c r="F333" s="1" t="s">
        <v>22</v>
      </c>
      <c r="G333" s="1"/>
      <c r="H333" s="1"/>
      <c r="I333" s="1"/>
      <c r="J333" s="1" t="s">
        <v>1333</v>
      </c>
      <c r="K333" s="1" t="s">
        <v>59</v>
      </c>
      <c r="L333" s="1"/>
    </row>
    <row r="334" spans="1:12" ht="91.2">
      <c r="A334" s="1" t="s">
        <v>3749</v>
      </c>
      <c r="B334" s="1" t="s">
        <v>1335</v>
      </c>
      <c r="C334" s="1" t="s">
        <v>3310</v>
      </c>
      <c r="D334" s="1">
        <v>1</v>
      </c>
      <c r="E334" s="1">
        <v>1</v>
      </c>
      <c r="F334" s="1" t="s">
        <v>22</v>
      </c>
      <c r="G334" s="1" t="s">
        <v>1218</v>
      </c>
      <c r="H334" s="1" t="s">
        <v>1337</v>
      </c>
      <c r="I334" s="1" t="s">
        <v>1338</v>
      </c>
      <c r="J334" s="1" t="s">
        <v>3750</v>
      </c>
      <c r="K334" s="1" t="s">
        <v>59</v>
      </c>
      <c r="L334" s="1"/>
    </row>
    <row r="335" spans="1:12">
      <c r="A335" s="1" t="s">
        <v>3751</v>
      </c>
      <c r="B335" s="1" t="s">
        <v>1341</v>
      </c>
      <c r="C335" s="1" t="s">
        <v>3310</v>
      </c>
      <c r="D335" s="1">
        <v>1</v>
      </c>
      <c r="E335" s="1"/>
      <c r="F335" s="1" t="s">
        <v>22</v>
      </c>
      <c r="G335" s="1"/>
      <c r="H335" s="1"/>
      <c r="I335" s="1"/>
      <c r="J335" s="1" t="s">
        <v>1342</v>
      </c>
      <c r="K335" s="1" t="s">
        <v>59</v>
      </c>
      <c r="L335" s="1"/>
    </row>
    <row r="336" spans="1:12">
      <c r="A336" s="1" t="s">
        <v>3752</v>
      </c>
      <c r="B336" s="1" t="s">
        <v>1344</v>
      </c>
      <c r="C336" s="1" t="s">
        <v>3310</v>
      </c>
      <c r="D336" s="1">
        <v>1</v>
      </c>
      <c r="E336" s="1"/>
      <c r="F336" s="1" t="s">
        <v>22</v>
      </c>
      <c r="G336" s="1"/>
      <c r="H336" s="1"/>
      <c r="I336" s="1"/>
      <c r="J336" s="1" t="s">
        <v>1345</v>
      </c>
      <c r="K336" s="1" t="s">
        <v>59</v>
      </c>
      <c r="L336" s="1"/>
    </row>
    <row r="337" spans="1:12">
      <c r="A337" s="1" t="s">
        <v>3753</v>
      </c>
      <c r="B337" s="1" t="s">
        <v>1347</v>
      </c>
      <c r="C337" s="1" t="s">
        <v>3310</v>
      </c>
      <c r="D337" s="1">
        <v>1</v>
      </c>
      <c r="E337" s="1"/>
      <c r="F337" s="1" t="s">
        <v>22</v>
      </c>
      <c r="G337" s="1"/>
      <c r="H337" s="1"/>
      <c r="I337" s="1"/>
      <c r="J337" s="1" t="s">
        <v>1348</v>
      </c>
      <c r="K337" s="1" t="s">
        <v>59</v>
      </c>
      <c r="L337" s="1"/>
    </row>
    <row r="338" spans="1:12" ht="409.6">
      <c r="A338" s="1" t="s">
        <v>3754</v>
      </c>
      <c r="B338" s="1" t="s">
        <v>1350</v>
      </c>
      <c r="C338" s="1" t="s">
        <v>3320</v>
      </c>
      <c r="D338" s="1">
        <v>6</v>
      </c>
      <c r="E338" s="1">
        <v>6</v>
      </c>
      <c r="F338" s="1" t="s">
        <v>22</v>
      </c>
      <c r="G338" s="1" t="s">
        <v>3755</v>
      </c>
      <c r="H338" s="1" t="s">
        <v>3756</v>
      </c>
      <c r="I338" s="1" t="s">
        <v>3757</v>
      </c>
      <c r="J338" s="1" t="s">
        <v>3758</v>
      </c>
      <c r="K338" s="1" t="s">
        <v>59</v>
      </c>
      <c r="L338" s="1"/>
    </row>
    <row r="339" spans="1:12" ht="409.6">
      <c r="A339" s="1" t="s">
        <v>3759</v>
      </c>
      <c r="B339" s="1" t="s">
        <v>1378</v>
      </c>
      <c r="C339" s="1" t="s">
        <v>3314</v>
      </c>
      <c r="D339" s="1">
        <v>25</v>
      </c>
      <c r="E339" s="1">
        <v>25</v>
      </c>
      <c r="F339" s="1" t="s">
        <v>3760</v>
      </c>
      <c r="G339" s="1" t="s">
        <v>3761</v>
      </c>
      <c r="H339" s="1" t="s">
        <v>3762</v>
      </c>
      <c r="I339" s="1" t="s">
        <v>3763</v>
      </c>
      <c r="J339" s="1" t="s">
        <v>3764</v>
      </c>
      <c r="K339" s="1" t="s">
        <v>59</v>
      </c>
      <c r="L339" s="1" t="s">
        <v>3317</v>
      </c>
    </row>
    <row r="340" spans="1:12" ht="91.2">
      <c r="A340" s="1" t="s">
        <v>3765</v>
      </c>
      <c r="B340" s="1" t="s">
        <v>1415</v>
      </c>
      <c r="C340" s="1" t="s">
        <v>3310</v>
      </c>
      <c r="D340" s="1">
        <v>1</v>
      </c>
      <c r="E340" s="1">
        <v>1</v>
      </c>
      <c r="F340" s="1" t="s">
        <v>22</v>
      </c>
      <c r="G340" s="1" t="s">
        <v>1218</v>
      </c>
      <c r="H340" s="1" t="s">
        <v>1417</v>
      </c>
      <c r="I340" s="1" t="s">
        <v>1418</v>
      </c>
      <c r="J340" s="1" t="s">
        <v>3766</v>
      </c>
      <c r="K340" s="1" t="s">
        <v>59</v>
      </c>
      <c r="L340" s="1"/>
    </row>
    <row r="341" spans="1:12" ht="205.2">
      <c r="A341" s="1" t="s">
        <v>3767</v>
      </c>
      <c r="B341" s="1" t="s">
        <v>1529</v>
      </c>
      <c r="C341" s="1" t="s">
        <v>3320</v>
      </c>
      <c r="D341" s="1">
        <v>2</v>
      </c>
      <c r="E341" s="1">
        <v>26</v>
      </c>
      <c r="F341" s="1" t="s">
        <v>22</v>
      </c>
      <c r="G341" s="1" t="s">
        <v>3768</v>
      </c>
      <c r="H341" s="1" t="s">
        <v>1007</v>
      </c>
      <c r="I341" s="1" t="s">
        <v>3769</v>
      </c>
      <c r="J341" s="1" t="s">
        <v>3770</v>
      </c>
      <c r="K341" s="1" t="s">
        <v>59</v>
      </c>
      <c r="L341" s="1"/>
    </row>
    <row r="342" spans="1:12" ht="91.2">
      <c r="A342" s="1" t="s">
        <v>3771</v>
      </c>
      <c r="B342" s="1" t="s">
        <v>1540</v>
      </c>
      <c r="C342" s="1" t="s">
        <v>3310</v>
      </c>
      <c r="D342" s="1">
        <v>1</v>
      </c>
      <c r="E342" s="1">
        <v>1</v>
      </c>
      <c r="F342" s="1" t="s">
        <v>22</v>
      </c>
      <c r="G342" s="1" t="s">
        <v>403</v>
      </c>
      <c r="H342" s="1" t="s">
        <v>615</v>
      </c>
      <c r="I342" s="1"/>
      <c r="J342" s="1" t="s">
        <v>3772</v>
      </c>
      <c r="K342" s="1" t="s">
        <v>59</v>
      </c>
      <c r="L342" s="1"/>
    </row>
    <row r="343" spans="1:12" ht="91.2">
      <c r="A343" s="1" t="s">
        <v>3773</v>
      </c>
      <c r="B343" s="1" t="s">
        <v>1544</v>
      </c>
      <c r="C343" s="1" t="s">
        <v>3310</v>
      </c>
      <c r="D343" s="1">
        <v>1</v>
      </c>
      <c r="E343" s="1">
        <v>1</v>
      </c>
      <c r="F343" s="1" t="s">
        <v>22</v>
      </c>
      <c r="G343" s="1" t="s">
        <v>1218</v>
      </c>
      <c r="H343" s="1" t="s">
        <v>1546</v>
      </c>
      <c r="I343" s="1"/>
      <c r="J343" s="1" t="s">
        <v>3774</v>
      </c>
      <c r="K343" s="1" t="s">
        <v>59</v>
      </c>
      <c r="L343" s="1"/>
    </row>
    <row r="344" spans="1:12">
      <c r="A344" s="1" t="s">
        <v>3775</v>
      </c>
      <c r="B344" s="1" t="s">
        <v>1549</v>
      </c>
      <c r="C344" s="1" t="s">
        <v>3310</v>
      </c>
      <c r="D344" s="1">
        <v>1</v>
      </c>
      <c r="E344" s="1"/>
      <c r="F344" s="1" t="s">
        <v>22</v>
      </c>
      <c r="G344" s="1"/>
      <c r="H344" s="1"/>
      <c r="I344" s="1"/>
      <c r="J344" s="1" t="s">
        <v>1550</v>
      </c>
      <c r="K344" s="1" t="s">
        <v>59</v>
      </c>
      <c r="L344" s="1"/>
    </row>
    <row r="345" spans="1:12" ht="91.2">
      <c r="A345" s="1" t="s">
        <v>3776</v>
      </c>
      <c r="B345" s="1" t="s">
        <v>1552</v>
      </c>
      <c r="C345" s="1" t="s">
        <v>3310</v>
      </c>
      <c r="D345" s="1">
        <v>1</v>
      </c>
      <c r="E345" s="1">
        <v>1</v>
      </c>
      <c r="F345" s="1" t="s">
        <v>22</v>
      </c>
      <c r="G345" s="1" t="s">
        <v>403</v>
      </c>
      <c r="H345" s="1" t="s">
        <v>1554</v>
      </c>
      <c r="I345" s="1" t="s">
        <v>1555</v>
      </c>
      <c r="J345" s="1" t="s">
        <v>3777</v>
      </c>
      <c r="K345" s="1" t="s">
        <v>59</v>
      </c>
      <c r="L345" s="1"/>
    </row>
    <row r="346" spans="1:12" ht="91.2">
      <c r="A346" s="1" t="s">
        <v>3778</v>
      </c>
      <c r="B346" s="1" t="s">
        <v>1558</v>
      </c>
      <c r="C346" s="1" t="s">
        <v>3310</v>
      </c>
      <c r="D346" s="1">
        <v>1</v>
      </c>
      <c r="E346" s="1">
        <v>1</v>
      </c>
      <c r="F346" s="1" t="s">
        <v>22</v>
      </c>
      <c r="G346" s="1" t="s">
        <v>614</v>
      </c>
      <c r="H346" s="1" t="s">
        <v>1560</v>
      </c>
      <c r="I346" s="1" t="s">
        <v>1561</v>
      </c>
      <c r="J346" s="1" t="s">
        <v>3779</v>
      </c>
      <c r="K346" s="1" t="s">
        <v>59</v>
      </c>
      <c r="L346" s="1"/>
    </row>
    <row r="347" spans="1:12" ht="102.6">
      <c r="A347" s="1" t="s">
        <v>3780</v>
      </c>
      <c r="B347" s="1" t="s">
        <v>1564</v>
      </c>
      <c r="C347" s="1" t="s">
        <v>3310</v>
      </c>
      <c r="D347" s="1">
        <v>1</v>
      </c>
      <c r="E347" s="1"/>
      <c r="F347" s="1" t="s">
        <v>22</v>
      </c>
      <c r="G347" s="1" t="s">
        <v>1295</v>
      </c>
      <c r="H347" s="1" t="s">
        <v>1566</v>
      </c>
      <c r="I347" s="1" t="s">
        <v>1567</v>
      </c>
      <c r="J347" s="1" t="s">
        <v>3781</v>
      </c>
      <c r="K347" s="1" t="s">
        <v>59</v>
      </c>
      <c r="L347" s="1"/>
    </row>
    <row r="348" spans="1:12" ht="387.6">
      <c r="A348" s="1" t="s">
        <v>3782</v>
      </c>
      <c r="B348" s="1" t="s">
        <v>1571</v>
      </c>
      <c r="C348" s="1" t="s">
        <v>3320</v>
      </c>
      <c r="D348" s="1">
        <v>6</v>
      </c>
      <c r="E348" s="1">
        <v>5</v>
      </c>
      <c r="F348" s="1" t="s">
        <v>22</v>
      </c>
      <c r="G348" s="1" t="s">
        <v>3783</v>
      </c>
      <c r="H348" s="1" t="s">
        <v>3784</v>
      </c>
      <c r="I348" s="1" t="s">
        <v>3785</v>
      </c>
      <c r="J348" s="1" t="s">
        <v>3786</v>
      </c>
      <c r="K348" s="1" t="s">
        <v>59</v>
      </c>
      <c r="L348" s="1"/>
    </row>
    <row r="349" spans="1:12" ht="114">
      <c r="A349" s="1" t="s">
        <v>3787</v>
      </c>
      <c r="B349" s="1" t="s">
        <v>1588</v>
      </c>
      <c r="C349" s="1" t="s">
        <v>3320</v>
      </c>
      <c r="D349" s="1">
        <v>1</v>
      </c>
      <c r="E349" s="1">
        <v>1</v>
      </c>
      <c r="F349" s="1" t="s">
        <v>32</v>
      </c>
      <c r="G349" s="1"/>
      <c r="H349" s="1" t="s">
        <v>1590</v>
      </c>
      <c r="I349" s="1" t="s">
        <v>1591</v>
      </c>
      <c r="J349" s="1" t="s">
        <v>3788</v>
      </c>
      <c r="K349" s="1" t="s">
        <v>59</v>
      </c>
      <c r="L349" s="1"/>
    </row>
    <row r="350" spans="1:12">
      <c r="A350" s="1" t="s">
        <v>3789</v>
      </c>
      <c r="B350" s="1" t="s">
        <v>861</v>
      </c>
      <c r="C350" s="1" t="s">
        <v>3310</v>
      </c>
      <c r="D350" s="1">
        <v>1</v>
      </c>
      <c r="E350" s="1"/>
      <c r="F350" s="1" t="s">
        <v>33</v>
      </c>
      <c r="G350" s="1"/>
      <c r="H350" s="1"/>
      <c r="I350" s="1"/>
      <c r="J350" s="1" t="s">
        <v>1594</v>
      </c>
      <c r="K350" s="1" t="s">
        <v>59</v>
      </c>
      <c r="L350" s="1"/>
    </row>
    <row r="351" spans="1:12" ht="22.8">
      <c r="A351" s="1" t="s">
        <v>3790</v>
      </c>
      <c r="B351" s="1" t="s">
        <v>1596</v>
      </c>
      <c r="C351" s="1" t="s">
        <v>3310</v>
      </c>
      <c r="D351" s="1">
        <v>1</v>
      </c>
      <c r="E351" s="1"/>
      <c r="F351" s="1" t="s">
        <v>30</v>
      </c>
      <c r="G351" s="1"/>
      <c r="H351" s="1"/>
      <c r="I351" s="1"/>
      <c r="J351" s="1" t="s">
        <v>1597</v>
      </c>
      <c r="K351" s="1" t="s">
        <v>59</v>
      </c>
      <c r="L351" s="1"/>
    </row>
    <row r="352" spans="1:12">
      <c r="A352" s="1" t="s">
        <v>3791</v>
      </c>
      <c r="B352" s="1" t="s">
        <v>861</v>
      </c>
      <c r="C352" s="1" t="s">
        <v>3310</v>
      </c>
      <c r="D352" s="1">
        <v>1</v>
      </c>
      <c r="E352" s="1"/>
      <c r="F352" s="1" t="s">
        <v>30</v>
      </c>
      <c r="G352" s="1"/>
      <c r="H352" s="1"/>
      <c r="I352" s="1"/>
      <c r="J352" s="1" t="s">
        <v>1599</v>
      </c>
      <c r="K352" s="1" t="s">
        <v>59</v>
      </c>
      <c r="L352" s="1"/>
    </row>
    <row r="353" spans="1:12">
      <c r="A353" s="1" t="s">
        <v>3792</v>
      </c>
      <c r="B353" s="1" t="s">
        <v>1601</v>
      </c>
      <c r="C353" s="1" t="s">
        <v>3310</v>
      </c>
      <c r="D353" s="1">
        <v>1</v>
      </c>
      <c r="E353" s="1">
        <v>1</v>
      </c>
      <c r="F353" s="1" t="s">
        <v>28</v>
      </c>
      <c r="G353" s="1"/>
      <c r="H353" s="1"/>
      <c r="I353" s="1"/>
      <c r="J353" s="1" t="s">
        <v>1603</v>
      </c>
      <c r="K353" s="1" t="s">
        <v>59</v>
      </c>
      <c r="L353" s="1"/>
    </row>
    <row r="354" spans="1:12" ht="57">
      <c r="A354" s="1" t="s">
        <v>3793</v>
      </c>
      <c r="B354" s="1" t="s">
        <v>1605</v>
      </c>
      <c r="C354" s="1" t="s">
        <v>3310</v>
      </c>
      <c r="D354" s="1">
        <v>1</v>
      </c>
      <c r="E354" s="1">
        <v>1</v>
      </c>
      <c r="F354" s="1" t="s">
        <v>28</v>
      </c>
      <c r="G354" s="1"/>
      <c r="H354" s="1" t="s">
        <v>1607</v>
      </c>
      <c r="I354" s="1"/>
      <c r="J354" s="1" t="s">
        <v>3794</v>
      </c>
      <c r="K354" s="1" t="s">
        <v>59</v>
      </c>
      <c r="L354" s="1"/>
    </row>
    <row r="355" spans="1:12">
      <c r="A355" s="1" t="s">
        <v>3795</v>
      </c>
      <c r="B355" s="1" t="s">
        <v>1612</v>
      </c>
      <c r="C355" s="1" t="s">
        <v>3310</v>
      </c>
      <c r="D355" s="1">
        <v>1</v>
      </c>
      <c r="E355" s="1">
        <v>1</v>
      </c>
      <c r="F355" s="1" t="s">
        <v>28</v>
      </c>
      <c r="G355" s="1"/>
      <c r="H355" s="1" t="s">
        <v>1614</v>
      </c>
      <c r="I355" s="1"/>
      <c r="J355" s="1" t="s">
        <v>1615</v>
      </c>
      <c r="K355" s="1" t="s">
        <v>59</v>
      </c>
      <c r="L355" s="1"/>
    </row>
    <row r="356" spans="1:12" ht="45.6">
      <c r="A356" s="1" t="s">
        <v>3796</v>
      </c>
      <c r="B356" s="1" t="s">
        <v>1617</v>
      </c>
      <c r="C356" s="1" t="s">
        <v>3310</v>
      </c>
      <c r="D356" s="1">
        <v>1</v>
      </c>
      <c r="E356" s="1">
        <v>1</v>
      </c>
      <c r="F356" s="1" t="s">
        <v>28</v>
      </c>
      <c r="G356" s="1"/>
      <c r="H356" s="1"/>
      <c r="I356" s="1"/>
      <c r="J356" s="1" t="s">
        <v>3797</v>
      </c>
      <c r="K356" s="1" t="s">
        <v>59</v>
      </c>
      <c r="L356" s="1"/>
    </row>
    <row r="357" spans="1:12" ht="68.400000000000006">
      <c r="A357" s="1" t="s">
        <v>3798</v>
      </c>
      <c r="B357" s="1" t="s">
        <v>1634</v>
      </c>
      <c r="C357" s="1" t="s">
        <v>3310</v>
      </c>
      <c r="D357" s="1">
        <v>1</v>
      </c>
      <c r="E357" s="1">
        <v>1</v>
      </c>
      <c r="F357" s="1" t="s">
        <v>28</v>
      </c>
      <c r="G357" s="1"/>
      <c r="H357" s="1"/>
      <c r="I357" s="1"/>
      <c r="J357" s="1" t="s">
        <v>3799</v>
      </c>
      <c r="K357" s="1" t="s">
        <v>59</v>
      </c>
      <c r="L357" s="1"/>
    </row>
    <row r="358" spans="1:12">
      <c r="A358" s="1" t="s">
        <v>3800</v>
      </c>
      <c r="B358" s="1" t="s">
        <v>1641</v>
      </c>
      <c r="C358" s="1" t="s">
        <v>3310</v>
      </c>
      <c r="D358" s="1">
        <v>1</v>
      </c>
      <c r="E358" s="1">
        <v>1</v>
      </c>
      <c r="F358" s="1" t="s">
        <v>28</v>
      </c>
      <c r="G358" s="1"/>
      <c r="H358" s="1"/>
      <c r="I358" s="1"/>
      <c r="J358" s="1" t="s">
        <v>1643</v>
      </c>
      <c r="K358" s="1" t="s">
        <v>59</v>
      </c>
      <c r="L358" s="1"/>
    </row>
    <row r="359" spans="1:12">
      <c r="A359" s="1" t="s">
        <v>3801</v>
      </c>
      <c r="B359" s="1" t="s">
        <v>1645</v>
      </c>
      <c r="C359" s="1" t="s">
        <v>3310</v>
      </c>
      <c r="D359" s="1">
        <v>1</v>
      </c>
      <c r="E359" s="1"/>
      <c r="F359" s="1" t="s">
        <v>28</v>
      </c>
      <c r="G359" s="1"/>
      <c r="H359" s="1"/>
      <c r="I359" s="1"/>
      <c r="J359" s="1" t="s">
        <v>1646</v>
      </c>
      <c r="K359" s="1" t="s">
        <v>59</v>
      </c>
      <c r="L359" s="1"/>
    </row>
    <row r="360" spans="1:12" ht="57">
      <c r="A360" s="1" t="s">
        <v>3802</v>
      </c>
      <c r="B360" s="1" t="s">
        <v>1648</v>
      </c>
      <c r="C360" s="1" t="s">
        <v>3310</v>
      </c>
      <c r="D360" s="1">
        <v>1</v>
      </c>
      <c r="E360" s="1">
        <v>1</v>
      </c>
      <c r="F360" s="1" t="s">
        <v>28</v>
      </c>
      <c r="G360" s="1"/>
      <c r="H360" s="1" t="s">
        <v>1650</v>
      </c>
      <c r="I360" s="1"/>
      <c r="J360" s="1" t="s">
        <v>3803</v>
      </c>
      <c r="K360" s="1" t="s">
        <v>59</v>
      </c>
      <c r="L360" s="1"/>
    </row>
    <row r="361" spans="1:12" ht="136.80000000000001">
      <c r="A361" s="1" t="s">
        <v>3804</v>
      </c>
      <c r="B361" s="1" t="s">
        <v>1654</v>
      </c>
      <c r="C361" s="1" t="s">
        <v>3314</v>
      </c>
      <c r="D361" s="1">
        <v>2</v>
      </c>
      <c r="E361" s="1">
        <v>1</v>
      </c>
      <c r="F361" s="1" t="s">
        <v>3805</v>
      </c>
      <c r="G361" s="1" t="s">
        <v>403</v>
      </c>
      <c r="H361" s="1" t="s">
        <v>3806</v>
      </c>
      <c r="I361" s="1"/>
      <c r="J361" s="1" t="s">
        <v>3807</v>
      </c>
      <c r="K361" s="1" t="s">
        <v>59</v>
      </c>
      <c r="L361" s="1" t="s">
        <v>3317</v>
      </c>
    </row>
    <row r="362" spans="1:12">
      <c r="A362" s="1" t="s">
        <v>3808</v>
      </c>
      <c r="B362" s="1" t="s">
        <v>1660</v>
      </c>
      <c r="C362" s="1" t="s">
        <v>3320</v>
      </c>
      <c r="D362" s="1">
        <v>1</v>
      </c>
      <c r="E362" s="1"/>
      <c r="F362" s="1" t="s">
        <v>28</v>
      </c>
      <c r="G362" s="1"/>
      <c r="H362" s="1"/>
      <c r="I362" s="1"/>
      <c r="J362" s="1" t="s">
        <v>1661</v>
      </c>
      <c r="K362" s="1" t="s">
        <v>59</v>
      </c>
      <c r="L362" s="1"/>
    </row>
    <row r="363" spans="1:12" ht="45.6">
      <c r="A363" s="1" t="s">
        <v>3809</v>
      </c>
      <c r="B363" s="1" t="s">
        <v>1663</v>
      </c>
      <c r="C363" s="1" t="s">
        <v>3310</v>
      </c>
      <c r="D363" s="1">
        <v>1</v>
      </c>
      <c r="E363" s="1"/>
      <c r="F363" s="1" t="s">
        <v>28</v>
      </c>
      <c r="G363" s="1"/>
      <c r="H363" s="1"/>
      <c r="I363" s="1"/>
      <c r="J363" s="1" t="s">
        <v>3810</v>
      </c>
      <c r="K363" s="1" t="s">
        <v>59</v>
      </c>
      <c r="L363" s="1"/>
    </row>
    <row r="364" spans="1:12" ht="45.6">
      <c r="A364" s="1" t="s">
        <v>3811</v>
      </c>
      <c r="B364" s="1" t="s">
        <v>1673</v>
      </c>
      <c r="C364" s="1" t="s">
        <v>3310</v>
      </c>
      <c r="D364" s="1">
        <v>1</v>
      </c>
      <c r="E364" s="1">
        <v>1</v>
      </c>
      <c r="F364" s="1" t="s">
        <v>28</v>
      </c>
      <c r="G364" s="1"/>
      <c r="H364" s="1" t="s">
        <v>1675</v>
      </c>
      <c r="I364" s="1"/>
      <c r="J364" s="1" t="s">
        <v>3812</v>
      </c>
      <c r="K364" s="1" t="s">
        <v>59</v>
      </c>
      <c r="L364" s="1"/>
    </row>
    <row r="365" spans="1:12" ht="57">
      <c r="A365" s="1" t="s">
        <v>3813</v>
      </c>
      <c r="B365" s="1" t="s">
        <v>1678</v>
      </c>
      <c r="C365" s="1" t="s">
        <v>3310</v>
      </c>
      <c r="D365" s="1">
        <v>1</v>
      </c>
      <c r="E365" s="1">
        <v>1</v>
      </c>
      <c r="F365" s="1" t="s">
        <v>28</v>
      </c>
      <c r="G365" s="1"/>
      <c r="H365" s="1"/>
      <c r="I365" s="1"/>
      <c r="J365" s="1" t="s">
        <v>3814</v>
      </c>
      <c r="K365" s="1" t="s">
        <v>59</v>
      </c>
      <c r="L365" s="1"/>
    </row>
    <row r="366" spans="1:12" ht="68.400000000000006">
      <c r="A366" s="1" t="s">
        <v>3815</v>
      </c>
      <c r="B366" s="1" t="s">
        <v>1683</v>
      </c>
      <c r="C366" s="1" t="s">
        <v>3310</v>
      </c>
      <c r="D366" s="1">
        <v>1</v>
      </c>
      <c r="E366" s="1">
        <v>1</v>
      </c>
      <c r="F366" s="1" t="s">
        <v>28</v>
      </c>
      <c r="G366" s="1"/>
      <c r="H366" s="1"/>
      <c r="I366" s="1"/>
      <c r="J366" s="1" t="s">
        <v>3816</v>
      </c>
      <c r="K366" s="1" t="s">
        <v>59</v>
      </c>
      <c r="L366" s="1"/>
    </row>
    <row r="367" spans="1:12" ht="57">
      <c r="A367" s="1" t="s">
        <v>3817</v>
      </c>
      <c r="B367" s="1" t="s">
        <v>1689</v>
      </c>
      <c r="C367" s="1" t="s">
        <v>3310</v>
      </c>
      <c r="D367" s="1">
        <v>1</v>
      </c>
      <c r="E367" s="1">
        <v>1</v>
      </c>
      <c r="F367" s="1" t="s">
        <v>28</v>
      </c>
      <c r="G367" s="1"/>
      <c r="H367" s="1"/>
      <c r="I367" s="1"/>
      <c r="J367" s="1" t="s">
        <v>3818</v>
      </c>
      <c r="K367" s="1" t="s">
        <v>59</v>
      </c>
      <c r="L367" s="1"/>
    </row>
    <row r="368" spans="1:12" ht="57">
      <c r="A368" s="1" t="s">
        <v>3819</v>
      </c>
      <c r="B368" s="1" t="s">
        <v>1692</v>
      </c>
      <c r="C368" s="1" t="s">
        <v>3310</v>
      </c>
      <c r="D368" s="1">
        <v>1</v>
      </c>
      <c r="E368" s="1">
        <v>1</v>
      </c>
      <c r="F368" s="1" t="s">
        <v>28</v>
      </c>
      <c r="G368" s="1"/>
      <c r="H368" s="1" t="s">
        <v>1694</v>
      </c>
      <c r="I368" s="1"/>
      <c r="J368" s="1" t="s">
        <v>3820</v>
      </c>
      <c r="K368" s="1" t="s">
        <v>59</v>
      </c>
      <c r="L368" s="1"/>
    </row>
    <row r="369" spans="1:12" ht="57">
      <c r="A369" s="1" t="s">
        <v>3821</v>
      </c>
      <c r="B369" s="1" t="s">
        <v>1698</v>
      </c>
      <c r="C369" s="1" t="s">
        <v>3310</v>
      </c>
      <c r="D369" s="1">
        <v>1</v>
      </c>
      <c r="E369" s="1">
        <v>1</v>
      </c>
      <c r="F369" s="1" t="s">
        <v>28</v>
      </c>
      <c r="G369" s="1"/>
      <c r="H369" s="1"/>
      <c r="I369" s="1"/>
      <c r="J369" s="1" t="s">
        <v>3822</v>
      </c>
      <c r="K369" s="1" t="s">
        <v>59</v>
      </c>
      <c r="L369" s="1"/>
    </row>
    <row r="370" spans="1:12" ht="57">
      <c r="A370" s="1" t="s">
        <v>3823</v>
      </c>
      <c r="B370" s="1" t="s">
        <v>1702</v>
      </c>
      <c r="C370" s="1" t="s">
        <v>3310</v>
      </c>
      <c r="D370" s="1">
        <v>1</v>
      </c>
      <c r="E370" s="1">
        <v>1</v>
      </c>
      <c r="F370" s="1" t="s">
        <v>28</v>
      </c>
      <c r="G370" s="1"/>
      <c r="H370" s="1"/>
      <c r="I370" s="1"/>
      <c r="J370" s="1" t="s">
        <v>3824</v>
      </c>
      <c r="K370" s="1" t="s">
        <v>59</v>
      </c>
      <c r="L370" s="1"/>
    </row>
    <row r="371" spans="1:12">
      <c r="A371" s="1" t="s">
        <v>3825</v>
      </c>
      <c r="B371" s="1" t="s">
        <v>1707</v>
      </c>
      <c r="C371" s="1" t="s">
        <v>3310</v>
      </c>
      <c r="D371" s="1">
        <v>1</v>
      </c>
      <c r="E371" s="1"/>
      <c r="F371" s="1" t="s">
        <v>28</v>
      </c>
      <c r="G371" s="1"/>
      <c r="H371" s="1"/>
      <c r="I371" s="1"/>
      <c r="J371" s="1" t="s">
        <v>1708</v>
      </c>
      <c r="K371" s="1" t="s">
        <v>59</v>
      </c>
      <c r="L371" s="1"/>
    </row>
    <row r="372" spans="1:12">
      <c r="A372" s="1" t="s">
        <v>3826</v>
      </c>
      <c r="B372" s="1" t="s">
        <v>1710</v>
      </c>
      <c r="C372" s="1" t="s">
        <v>3310</v>
      </c>
      <c r="D372" s="1">
        <v>1</v>
      </c>
      <c r="E372" s="1">
        <v>1</v>
      </c>
      <c r="F372" s="1" t="s">
        <v>28</v>
      </c>
      <c r="G372" s="1"/>
      <c r="H372" s="1" t="s">
        <v>1712</v>
      </c>
      <c r="I372" s="1"/>
      <c r="J372" s="1" t="s">
        <v>1713</v>
      </c>
      <c r="K372" s="1" t="s">
        <v>59</v>
      </c>
      <c r="L372" s="1"/>
    </row>
    <row r="373" spans="1:12">
      <c r="A373" s="1" t="s">
        <v>3827</v>
      </c>
      <c r="B373" s="1" t="s">
        <v>1715</v>
      </c>
      <c r="C373" s="1" t="s">
        <v>3310</v>
      </c>
      <c r="D373" s="1">
        <v>1</v>
      </c>
      <c r="E373" s="1"/>
      <c r="F373" s="1" t="s">
        <v>28</v>
      </c>
      <c r="G373" s="1"/>
      <c r="H373" s="1"/>
      <c r="I373" s="1"/>
      <c r="J373" s="1" t="s">
        <v>1716</v>
      </c>
      <c r="K373" s="1" t="s">
        <v>59</v>
      </c>
      <c r="L373" s="1"/>
    </row>
    <row r="374" spans="1:12" ht="57">
      <c r="A374" s="1" t="s">
        <v>3828</v>
      </c>
      <c r="B374" s="1" t="s">
        <v>1718</v>
      </c>
      <c r="C374" s="1" t="s">
        <v>3310</v>
      </c>
      <c r="D374" s="1">
        <v>1</v>
      </c>
      <c r="E374" s="1">
        <v>1</v>
      </c>
      <c r="F374" s="1" t="s">
        <v>28</v>
      </c>
      <c r="G374" s="1"/>
      <c r="H374" s="1"/>
      <c r="I374" s="1"/>
      <c r="J374" s="1" t="s">
        <v>3829</v>
      </c>
      <c r="K374" s="1" t="s">
        <v>59</v>
      </c>
      <c r="L374" s="1"/>
    </row>
    <row r="375" spans="1:12">
      <c r="A375" s="1" t="s">
        <v>3830</v>
      </c>
      <c r="B375" s="1" t="s">
        <v>1723</v>
      </c>
      <c r="C375" s="1" t="s">
        <v>3310</v>
      </c>
      <c r="D375" s="1">
        <v>1</v>
      </c>
      <c r="E375" s="1">
        <v>1</v>
      </c>
      <c r="F375" s="1" t="s">
        <v>28</v>
      </c>
      <c r="G375" s="1"/>
      <c r="H375" s="1" t="s">
        <v>1725</v>
      </c>
      <c r="I375" s="1"/>
      <c r="J375" s="1" t="s">
        <v>1726</v>
      </c>
      <c r="K375" s="1" t="s">
        <v>59</v>
      </c>
      <c r="L375" s="1"/>
    </row>
    <row r="376" spans="1:12" ht="57">
      <c r="A376" s="1" t="s">
        <v>3831</v>
      </c>
      <c r="B376" s="1" t="s">
        <v>1728</v>
      </c>
      <c r="C376" s="1" t="s">
        <v>3310</v>
      </c>
      <c r="D376" s="1">
        <v>1</v>
      </c>
      <c r="E376" s="1">
        <v>1</v>
      </c>
      <c r="F376" s="1" t="s">
        <v>28</v>
      </c>
      <c r="G376" s="1"/>
      <c r="H376" s="1" t="s">
        <v>1730</v>
      </c>
      <c r="I376" s="1"/>
      <c r="J376" s="1" t="s">
        <v>3832</v>
      </c>
      <c r="K376" s="1" t="s">
        <v>59</v>
      </c>
      <c r="L376" s="1"/>
    </row>
    <row r="377" spans="1:12">
      <c r="A377" s="1" t="s">
        <v>3833</v>
      </c>
      <c r="B377" s="1" t="s">
        <v>1734</v>
      </c>
      <c r="C377" s="1" t="s">
        <v>3310</v>
      </c>
      <c r="D377" s="1">
        <v>1</v>
      </c>
      <c r="E377" s="1">
        <v>1</v>
      </c>
      <c r="F377" s="1" t="s">
        <v>28</v>
      </c>
      <c r="G377" s="1"/>
      <c r="H377" s="1" t="s">
        <v>1736</v>
      </c>
      <c r="I377" s="1"/>
      <c r="J377" s="1" t="s">
        <v>1737</v>
      </c>
      <c r="K377" s="1" t="s">
        <v>59</v>
      </c>
      <c r="L377" s="1"/>
    </row>
    <row r="378" spans="1:12">
      <c r="A378" s="1" t="s">
        <v>3834</v>
      </c>
      <c r="B378" s="1" t="s">
        <v>1739</v>
      </c>
      <c r="C378" s="1" t="s">
        <v>3310</v>
      </c>
      <c r="D378" s="1">
        <v>1</v>
      </c>
      <c r="E378" s="1"/>
      <c r="F378" s="1" t="s">
        <v>24</v>
      </c>
      <c r="G378" s="1"/>
      <c r="H378" s="1"/>
      <c r="I378" s="1"/>
      <c r="J378" s="1" t="s">
        <v>1741</v>
      </c>
      <c r="K378" s="1" t="s">
        <v>59</v>
      </c>
      <c r="L378" s="1"/>
    </row>
    <row r="379" spans="1:12">
      <c r="A379" s="1" t="s">
        <v>3835</v>
      </c>
      <c r="B379" s="1" t="s">
        <v>1743</v>
      </c>
      <c r="C379" s="1" t="s">
        <v>3310</v>
      </c>
      <c r="D379" s="1">
        <v>1</v>
      </c>
      <c r="E379" s="1"/>
      <c r="F379" s="1" t="s">
        <v>24</v>
      </c>
      <c r="G379" s="1"/>
      <c r="H379" s="1"/>
      <c r="I379" s="1"/>
      <c r="J379" s="1" t="s">
        <v>1744</v>
      </c>
      <c r="K379" s="1" t="s">
        <v>59</v>
      </c>
      <c r="L379" s="1"/>
    </row>
    <row r="380" spans="1:12">
      <c r="A380" s="1" t="s">
        <v>3836</v>
      </c>
      <c r="B380" s="1" t="s">
        <v>1746</v>
      </c>
      <c r="C380" s="1" t="s">
        <v>3310</v>
      </c>
      <c r="D380" s="1">
        <v>1</v>
      </c>
      <c r="E380" s="1"/>
      <c r="F380" s="1" t="s">
        <v>24</v>
      </c>
      <c r="G380" s="1"/>
      <c r="H380" s="1"/>
      <c r="I380" s="1"/>
      <c r="J380" s="1" t="s">
        <v>1747</v>
      </c>
      <c r="K380" s="1" t="s">
        <v>59</v>
      </c>
      <c r="L380" s="1"/>
    </row>
    <row r="381" spans="1:12">
      <c r="A381" s="1" t="s">
        <v>3837</v>
      </c>
      <c r="B381" s="1" t="s">
        <v>1749</v>
      </c>
      <c r="C381" s="1" t="s">
        <v>3310</v>
      </c>
      <c r="D381" s="1">
        <v>1</v>
      </c>
      <c r="E381" s="1"/>
      <c r="F381" s="1" t="s">
        <v>24</v>
      </c>
      <c r="G381" s="1"/>
      <c r="H381" s="1"/>
      <c r="I381" s="1"/>
      <c r="J381" s="1" t="s">
        <v>1750</v>
      </c>
      <c r="K381" s="1" t="s">
        <v>59</v>
      </c>
      <c r="L381" s="1"/>
    </row>
    <row r="382" spans="1:12" ht="22.8">
      <c r="A382" s="1" t="s">
        <v>3838</v>
      </c>
      <c r="B382" s="1" t="s">
        <v>1752</v>
      </c>
      <c r="C382" s="1" t="s">
        <v>3310</v>
      </c>
      <c r="D382" s="1">
        <v>1</v>
      </c>
      <c r="E382" s="1"/>
      <c r="F382" s="1" t="s">
        <v>24</v>
      </c>
      <c r="G382" s="1"/>
      <c r="H382" s="1"/>
      <c r="I382" s="1"/>
      <c r="J382" s="1" t="s">
        <v>3839</v>
      </c>
      <c r="K382" s="1" t="s">
        <v>59</v>
      </c>
      <c r="L382" s="1"/>
    </row>
    <row r="383" spans="1:12" ht="79.8">
      <c r="A383" s="1" t="s">
        <v>3840</v>
      </c>
      <c r="B383" s="1" t="s">
        <v>1760</v>
      </c>
      <c r="C383" s="1" t="s">
        <v>3320</v>
      </c>
      <c r="D383" s="1">
        <v>3</v>
      </c>
      <c r="E383" s="1">
        <v>10</v>
      </c>
      <c r="F383" s="1" t="s">
        <v>24</v>
      </c>
      <c r="G383" s="1"/>
      <c r="H383" s="1" t="s">
        <v>3841</v>
      </c>
      <c r="I383" s="1"/>
      <c r="J383" s="1" t="s">
        <v>3842</v>
      </c>
      <c r="K383" s="1" t="s">
        <v>59</v>
      </c>
      <c r="L383" s="1"/>
    </row>
    <row r="384" spans="1:12" ht="22.8">
      <c r="A384" s="1" t="s">
        <v>3843</v>
      </c>
      <c r="B384" s="1" t="s">
        <v>1775</v>
      </c>
      <c r="C384" s="1" t="s">
        <v>3320</v>
      </c>
      <c r="D384" s="1">
        <v>2</v>
      </c>
      <c r="E384" s="1"/>
      <c r="F384" s="1" t="s">
        <v>3844</v>
      </c>
      <c r="G384" s="1"/>
      <c r="H384" s="1"/>
      <c r="I384" s="1"/>
      <c r="J384" s="1" t="s">
        <v>3845</v>
      </c>
      <c r="K384" s="1" t="s">
        <v>59</v>
      </c>
      <c r="L384" s="1"/>
    </row>
    <row r="385" spans="1:12" ht="22.8">
      <c r="A385" s="1" t="s">
        <v>3846</v>
      </c>
      <c r="B385" s="1" t="s">
        <v>1778</v>
      </c>
      <c r="C385" s="1" t="s">
        <v>3320</v>
      </c>
      <c r="D385" s="1">
        <v>1</v>
      </c>
      <c r="E385" s="1">
        <v>3</v>
      </c>
      <c r="F385" s="1" t="s">
        <v>24</v>
      </c>
      <c r="G385" s="1"/>
      <c r="H385" s="1"/>
      <c r="I385" s="1"/>
      <c r="J385" s="1" t="s">
        <v>3847</v>
      </c>
      <c r="K385" s="1" t="s">
        <v>59</v>
      </c>
      <c r="L385" s="1"/>
    </row>
    <row r="386" spans="1:12" ht="57">
      <c r="A386" s="1" t="s">
        <v>3848</v>
      </c>
      <c r="B386" s="1" t="s">
        <v>1783</v>
      </c>
      <c r="C386" s="1" t="s">
        <v>3320</v>
      </c>
      <c r="D386" s="1">
        <v>4</v>
      </c>
      <c r="E386" s="1"/>
      <c r="F386" s="1" t="s">
        <v>24</v>
      </c>
      <c r="G386" s="1"/>
      <c r="H386" s="1" t="s">
        <v>1785</v>
      </c>
      <c r="I386" s="1"/>
      <c r="J386" s="1" t="s">
        <v>3849</v>
      </c>
      <c r="K386" s="1" t="s">
        <v>59</v>
      </c>
      <c r="L386" s="1"/>
    </row>
    <row r="387" spans="1:12" ht="148.19999999999999">
      <c r="A387" s="1" t="s">
        <v>3850</v>
      </c>
      <c r="B387" s="1" t="s">
        <v>1784</v>
      </c>
      <c r="C387" s="1" t="s">
        <v>3320</v>
      </c>
      <c r="D387" s="1">
        <v>7</v>
      </c>
      <c r="E387" s="1">
        <v>13</v>
      </c>
      <c r="F387" s="1" t="s">
        <v>24</v>
      </c>
      <c r="G387" s="1"/>
      <c r="H387" s="1" t="s">
        <v>1791</v>
      </c>
      <c r="I387" s="1"/>
      <c r="J387" s="1" t="s">
        <v>3851</v>
      </c>
      <c r="K387" s="1" t="s">
        <v>59</v>
      </c>
      <c r="L387" s="1"/>
    </row>
    <row r="388" spans="1:12">
      <c r="A388" s="1" t="s">
        <v>3852</v>
      </c>
      <c r="B388" s="1" t="s">
        <v>1822</v>
      </c>
      <c r="C388" s="1" t="s">
        <v>3310</v>
      </c>
      <c r="D388" s="1">
        <v>1</v>
      </c>
      <c r="E388" s="1"/>
      <c r="F388" s="1" t="s">
        <v>24</v>
      </c>
      <c r="G388" s="1"/>
      <c r="H388" s="1"/>
      <c r="I388" s="1"/>
      <c r="J388" s="1" t="s">
        <v>1823</v>
      </c>
      <c r="K388" s="1" t="s">
        <v>59</v>
      </c>
      <c r="L388" s="1"/>
    </row>
    <row r="389" spans="1:12">
      <c r="A389" s="1" t="s">
        <v>3853</v>
      </c>
      <c r="B389" s="1" t="s">
        <v>1825</v>
      </c>
      <c r="C389" s="1" t="s">
        <v>3310</v>
      </c>
      <c r="D389" s="1">
        <v>1</v>
      </c>
      <c r="E389" s="1"/>
      <c r="F389" s="1" t="s">
        <v>24</v>
      </c>
      <c r="G389" s="1"/>
      <c r="H389" s="1"/>
      <c r="I389" s="1"/>
      <c r="J389" s="1" t="s">
        <v>1827</v>
      </c>
      <c r="K389" s="1" t="s">
        <v>59</v>
      </c>
      <c r="L389" s="1"/>
    </row>
    <row r="390" spans="1:12">
      <c r="A390" s="1" t="s">
        <v>3854</v>
      </c>
      <c r="B390" s="1" t="s">
        <v>1829</v>
      </c>
      <c r="C390" s="1" t="s">
        <v>3310</v>
      </c>
      <c r="D390" s="1">
        <v>1</v>
      </c>
      <c r="E390" s="1"/>
      <c r="F390" s="1" t="s">
        <v>24</v>
      </c>
      <c r="G390" s="1"/>
      <c r="H390" s="1"/>
      <c r="I390" s="1"/>
      <c r="J390" s="1" t="s">
        <v>1831</v>
      </c>
      <c r="K390" s="1" t="s">
        <v>59</v>
      </c>
      <c r="L390" s="1"/>
    </row>
    <row r="391" spans="1:12">
      <c r="A391" s="1" t="s">
        <v>3855</v>
      </c>
      <c r="B391" s="1" t="s">
        <v>1833</v>
      </c>
      <c r="C391" s="1" t="s">
        <v>3310</v>
      </c>
      <c r="D391" s="1">
        <v>1</v>
      </c>
      <c r="E391" s="1"/>
      <c r="F391" s="1" t="s">
        <v>24</v>
      </c>
      <c r="G391" s="1"/>
      <c r="H391" s="1"/>
      <c r="I391" s="1"/>
      <c r="J391" s="1" t="s">
        <v>1834</v>
      </c>
      <c r="K391" s="1" t="s">
        <v>59</v>
      </c>
      <c r="L391" s="1"/>
    </row>
    <row r="392" spans="1:12" ht="22.8">
      <c r="A392" s="1" t="s">
        <v>3856</v>
      </c>
      <c r="B392" s="1" t="s">
        <v>1836</v>
      </c>
      <c r="C392" s="1" t="s">
        <v>3310</v>
      </c>
      <c r="D392" s="1">
        <v>1</v>
      </c>
      <c r="E392" s="1"/>
      <c r="F392" s="1" t="s">
        <v>24</v>
      </c>
      <c r="G392" s="1"/>
      <c r="H392" s="1"/>
      <c r="I392" s="1"/>
      <c r="J392" s="1" t="s">
        <v>3857</v>
      </c>
      <c r="K392" s="1" t="s">
        <v>59</v>
      </c>
      <c r="L392" s="1"/>
    </row>
    <row r="393" spans="1:12" ht="22.8">
      <c r="A393" s="1" t="s">
        <v>3858</v>
      </c>
      <c r="B393" s="1" t="s">
        <v>1840</v>
      </c>
      <c r="C393" s="1" t="s">
        <v>3310</v>
      </c>
      <c r="D393" s="1">
        <v>1</v>
      </c>
      <c r="E393" s="1"/>
      <c r="F393" s="1" t="s">
        <v>24</v>
      </c>
      <c r="G393" s="1"/>
      <c r="H393" s="1"/>
      <c r="I393" s="1"/>
      <c r="J393" s="1" t="s">
        <v>3859</v>
      </c>
      <c r="K393" s="1" t="s">
        <v>59</v>
      </c>
      <c r="L393" s="1"/>
    </row>
    <row r="394" spans="1:12" ht="22.8">
      <c r="A394" s="1" t="s">
        <v>3860</v>
      </c>
      <c r="B394" s="1" t="s">
        <v>1844</v>
      </c>
      <c r="C394" s="1" t="s">
        <v>3320</v>
      </c>
      <c r="D394" s="1">
        <v>2</v>
      </c>
      <c r="E394" s="1"/>
      <c r="F394" s="1" t="s">
        <v>24</v>
      </c>
      <c r="G394" s="1"/>
      <c r="H394" s="1" t="s">
        <v>3861</v>
      </c>
      <c r="I394" s="1"/>
      <c r="J394" s="1" t="s">
        <v>3862</v>
      </c>
      <c r="K394" s="1" t="s">
        <v>59</v>
      </c>
      <c r="L394" s="1"/>
    </row>
    <row r="395" spans="1:12" ht="22.8">
      <c r="A395" s="1" t="s">
        <v>3863</v>
      </c>
      <c r="B395" s="1" t="s">
        <v>1849</v>
      </c>
      <c r="C395" s="1" t="s">
        <v>3310</v>
      </c>
      <c r="D395" s="1">
        <v>1</v>
      </c>
      <c r="E395" s="1"/>
      <c r="F395" s="1" t="s">
        <v>24</v>
      </c>
      <c r="G395" s="1"/>
      <c r="H395" s="1"/>
      <c r="I395" s="1"/>
      <c r="J395" s="1" t="s">
        <v>1850</v>
      </c>
      <c r="K395" s="1" t="s">
        <v>59</v>
      </c>
      <c r="L395" s="1"/>
    </row>
    <row r="396" spans="1:12" ht="148.19999999999999">
      <c r="A396" s="1" t="s">
        <v>3864</v>
      </c>
      <c r="B396" s="1" t="s">
        <v>1852</v>
      </c>
      <c r="C396" s="1" t="s">
        <v>3320</v>
      </c>
      <c r="D396" s="1">
        <v>8</v>
      </c>
      <c r="E396" s="1">
        <v>12</v>
      </c>
      <c r="F396" s="1" t="s">
        <v>3844</v>
      </c>
      <c r="G396" s="1"/>
      <c r="H396" s="1" t="s">
        <v>1854</v>
      </c>
      <c r="I396" s="1"/>
      <c r="J396" s="1" t="s">
        <v>3865</v>
      </c>
      <c r="K396" s="1" t="s">
        <v>59</v>
      </c>
      <c r="L396" s="1"/>
    </row>
    <row r="397" spans="1:12">
      <c r="A397" s="1" t="s">
        <v>3866</v>
      </c>
      <c r="B397" s="1" t="s">
        <v>1866</v>
      </c>
      <c r="C397" s="1" t="s">
        <v>3310</v>
      </c>
      <c r="D397" s="1">
        <v>1</v>
      </c>
      <c r="E397" s="1"/>
      <c r="F397" s="1" t="s">
        <v>24</v>
      </c>
      <c r="G397" s="1"/>
      <c r="H397" s="1"/>
      <c r="I397" s="1"/>
      <c r="J397" s="1" t="s">
        <v>1867</v>
      </c>
      <c r="K397" s="1" t="s">
        <v>59</v>
      </c>
      <c r="L397" s="1"/>
    </row>
    <row r="398" spans="1:12">
      <c r="A398" s="1" t="s">
        <v>3867</v>
      </c>
      <c r="B398" s="1" t="s">
        <v>1869</v>
      </c>
      <c r="C398" s="1" t="s">
        <v>3310</v>
      </c>
      <c r="D398" s="1">
        <v>1</v>
      </c>
      <c r="E398" s="1">
        <v>1</v>
      </c>
      <c r="F398" s="1" t="s">
        <v>24</v>
      </c>
      <c r="G398" s="1"/>
      <c r="H398" s="1" t="s">
        <v>1871</v>
      </c>
      <c r="I398" s="1"/>
      <c r="J398" s="1" t="s">
        <v>1872</v>
      </c>
      <c r="K398" s="1" t="s">
        <v>59</v>
      </c>
      <c r="L398" s="1"/>
    </row>
    <row r="399" spans="1:12" ht="22.8">
      <c r="A399" s="1" t="s">
        <v>3868</v>
      </c>
      <c r="B399" s="1" t="s">
        <v>1874</v>
      </c>
      <c r="C399" s="1" t="s">
        <v>3320</v>
      </c>
      <c r="D399" s="1">
        <v>2</v>
      </c>
      <c r="E399" s="1"/>
      <c r="F399" s="1" t="s">
        <v>24</v>
      </c>
      <c r="G399" s="1"/>
      <c r="H399" s="1"/>
      <c r="I399" s="1"/>
      <c r="J399" s="1" t="s">
        <v>3869</v>
      </c>
      <c r="K399" s="1" t="s">
        <v>59</v>
      </c>
      <c r="L399" s="1"/>
    </row>
    <row r="400" spans="1:12" ht="34.200000000000003">
      <c r="A400" s="1" t="s">
        <v>3870</v>
      </c>
      <c r="B400" s="1" t="s">
        <v>1881</v>
      </c>
      <c r="C400" s="1" t="s">
        <v>3320</v>
      </c>
      <c r="D400" s="1">
        <v>1</v>
      </c>
      <c r="E400" s="1">
        <v>5</v>
      </c>
      <c r="F400" s="1" t="s">
        <v>24</v>
      </c>
      <c r="G400" s="1"/>
      <c r="H400" s="1"/>
      <c r="I400" s="1"/>
      <c r="J400" s="1" t="s">
        <v>3871</v>
      </c>
      <c r="K400" s="1" t="s">
        <v>59</v>
      </c>
      <c r="L400" s="1"/>
    </row>
    <row r="401" spans="1:12">
      <c r="A401" s="1" t="s">
        <v>3872</v>
      </c>
      <c r="B401" s="1" t="s">
        <v>1887</v>
      </c>
      <c r="C401" s="1" t="s">
        <v>3320</v>
      </c>
      <c r="D401" s="1">
        <v>1</v>
      </c>
      <c r="E401" s="1"/>
      <c r="F401" s="1" t="s">
        <v>24</v>
      </c>
      <c r="G401" s="1"/>
      <c r="H401" s="1"/>
      <c r="I401" s="1"/>
      <c r="J401" s="1" t="s">
        <v>1892</v>
      </c>
      <c r="K401" s="1" t="s">
        <v>59</v>
      </c>
      <c r="L401" s="1"/>
    </row>
    <row r="402" spans="1:12">
      <c r="A402" s="1" t="s">
        <v>3873</v>
      </c>
      <c r="B402" s="1" t="s">
        <v>1894</v>
      </c>
      <c r="C402" s="1" t="s">
        <v>3310</v>
      </c>
      <c r="D402" s="1">
        <v>1</v>
      </c>
      <c r="E402" s="1"/>
      <c r="F402" s="1" t="s">
        <v>24</v>
      </c>
      <c r="G402" s="1"/>
      <c r="H402" s="1"/>
      <c r="I402" s="1"/>
      <c r="J402" s="1" t="s">
        <v>1896</v>
      </c>
      <c r="K402" s="1" t="s">
        <v>59</v>
      </c>
      <c r="L402" s="1"/>
    </row>
    <row r="403" spans="1:12" ht="22.8">
      <c r="A403" s="1" t="s">
        <v>3874</v>
      </c>
      <c r="B403" s="1" t="s">
        <v>1898</v>
      </c>
      <c r="C403" s="1" t="s">
        <v>3310</v>
      </c>
      <c r="D403" s="1">
        <v>1</v>
      </c>
      <c r="E403" s="1"/>
      <c r="F403" s="1" t="s">
        <v>24</v>
      </c>
      <c r="G403" s="1"/>
      <c r="H403" s="1"/>
      <c r="I403" s="1"/>
      <c r="J403" s="1" t="s">
        <v>3875</v>
      </c>
      <c r="K403" s="1" t="s">
        <v>59</v>
      </c>
      <c r="L403" s="1"/>
    </row>
    <row r="404" spans="1:12" ht="34.200000000000003">
      <c r="A404" s="1" t="s">
        <v>3876</v>
      </c>
      <c r="B404" s="1" t="s">
        <v>1902</v>
      </c>
      <c r="C404" s="1" t="s">
        <v>3320</v>
      </c>
      <c r="D404" s="1">
        <v>2</v>
      </c>
      <c r="E404" s="1"/>
      <c r="F404" s="1" t="s">
        <v>24</v>
      </c>
      <c r="G404" s="1"/>
      <c r="H404" s="1"/>
      <c r="I404" s="1"/>
      <c r="J404" s="1" t="s">
        <v>3877</v>
      </c>
      <c r="K404" s="1" t="s">
        <v>59</v>
      </c>
      <c r="L404" s="1"/>
    </row>
    <row r="405" spans="1:12" ht="22.8">
      <c r="A405" s="1" t="s">
        <v>3878</v>
      </c>
      <c r="B405" s="1" t="s">
        <v>1908</v>
      </c>
      <c r="C405" s="1" t="s">
        <v>3320</v>
      </c>
      <c r="D405" s="1">
        <v>1</v>
      </c>
      <c r="E405" s="1">
        <v>2</v>
      </c>
      <c r="F405" s="1" t="s">
        <v>24</v>
      </c>
      <c r="G405" s="1"/>
      <c r="H405" s="1" t="s">
        <v>1910</v>
      </c>
      <c r="I405" s="1"/>
      <c r="J405" s="1" t="s">
        <v>3879</v>
      </c>
      <c r="K405" s="1" t="s">
        <v>59</v>
      </c>
      <c r="L405" s="1"/>
    </row>
    <row r="406" spans="1:12" ht="22.8">
      <c r="A406" s="1" t="s">
        <v>3880</v>
      </c>
      <c r="B406" s="1" t="s">
        <v>1914</v>
      </c>
      <c r="C406" s="1" t="s">
        <v>3310</v>
      </c>
      <c r="D406" s="1">
        <v>1</v>
      </c>
      <c r="E406" s="1"/>
      <c r="F406" s="1" t="s">
        <v>24</v>
      </c>
      <c r="G406" s="1"/>
      <c r="H406" s="1"/>
      <c r="I406" s="1"/>
      <c r="J406" s="1" t="s">
        <v>3881</v>
      </c>
      <c r="K406" s="1" t="s">
        <v>59</v>
      </c>
      <c r="L406" s="1"/>
    </row>
    <row r="407" spans="1:12">
      <c r="A407" s="1" t="s">
        <v>3882</v>
      </c>
      <c r="B407" s="1" t="s">
        <v>1918</v>
      </c>
      <c r="C407" s="1" t="s">
        <v>3310</v>
      </c>
      <c r="D407" s="1">
        <v>1</v>
      </c>
      <c r="E407" s="1">
        <v>1</v>
      </c>
      <c r="F407" s="1" t="s">
        <v>24</v>
      </c>
      <c r="G407" s="1"/>
      <c r="H407" s="1" t="s">
        <v>1920</v>
      </c>
      <c r="I407" s="1"/>
      <c r="J407" s="1" t="s">
        <v>1921</v>
      </c>
      <c r="K407" s="1" t="s">
        <v>59</v>
      </c>
      <c r="L407" s="1"/>
    </row>
    <row r="408" spans="1:12">
      <c r="A408" s="1" t="s">
        <v>3883</v>
      </c>
      <c r="B408" s="1" t="s">
        <v>1923</v>
      </c>
      <c r="C408" s="1" t="s">
        <v>3310</v>
      </c>
      <c r="D408" s="1">
        <v>1</v>
      </c>
      <c r="E408" s="1">
        <v>1</v>
      </c>
      <c r="F408" s="1" t="s">
        <v>24</v>
      </c>
      <c r="G408" s="1"/>
      <c r="H408" s="1" t="s">
        <v>1925</v>
      </c>
      <c r="I408" s="1"/>
      <c r="J408" s="1" t="s">
        <v>1926</v>
      </c>
      <c r="K408" s="1" t="s">
        <v>59</v>
      </c>
      <c r="L408" s="1"/>
    </row>
    <row r="409" spans="1:12">
      <c r="A409" s="1" t="s">
        <v>3884</v>
      </c>
      <c r="B409" s="1" t="s">
        <v>1928</v>
      </c>
      <c r="C409" s="1" t="s">
        <v>3310</v>
      </c>
      <c r="D409" s="1">
        <v>1</v>
      </c>
      <c r="E409" s="1"/>
      <c r="F409" s="1" t="s">
        <v>24</v>
      </c>
      <c r="G409" s="1"/>
      <c r="H409" s="1"/>
      <c r="I409" s="1"/>
      <c r="J409" s="1" t="s">
        <v>1929</v>
      </c>
      <c r="K409" s="1" t="s">
        <v>59</v>
      </c>
      <c r="L409" s="1"/>
    </row>
    <row r="410" spans="1:12">
      <c r="A410" s="1" t="s">
        <v>3885</v>
      </c>
      <c r="B410" s="1" t="s">
        <v>861</v>
      </c>
      <c r="C410" s="1" t="s">
        <v>3310</v>
      </c>
      <c r="D410" s="1">
        <v>1</v>
      </c>
      <c r="E410" s="1"/>
      <c r="F410" s="1" t="s">
        <v>24</v>
      </c>
      <c r="G410" s="1"/>
      <c r="H410" s="1"/>
      <c r="I410" s="1"/>
      <c r="J410" s="1" t="s">
        <v>1931</v>
      </c>
      <c r="K410" s="1" t="s">
        <v>59</v>
      </c>
      <c r="L410" s="1"/>
    </row>
    <row r="411" spans="1:12">
      <c r="A411" s="1" t="s">
        <v>3886</v>
      </c>
      <c r="B411" s="1" t="s">
        <v>861</v>
      </c>
      <c r="C411" s="1" t="s">
        <v>3310</v>
      </c>
      <c r="D411" s="1">
        <v>1</v>
      </c>
      <c r="E411" s="1"/>
      <c r="F411" s="1" t="s">
        <v>24</v>
      </c>
      <c r="G411" s="1"/>
      <c r="H411" s="1"/>
      <c r="I411" s="1"/>
      <c r="J411" s="1" t="s">
        <v>1933</v>
      </c>
      <c r="K411" s="1" t="s">
        <v>59</v>
      </c>
      <c r="L411" s="1"/>
    </row>
    <row r="412" spans="1:12">
      <c r="A412" s="1" t="s">
        <v>3887</v>
      </c>
      <c r="B412" s="1" t="s">
        <v>861</v>
      </c>
      <c r="C412" s="1" t="s">
        <v>3310</v>
      </c>
      <c r="D412" s="1">
        <v>1</v>
      </c>
      <c r="E412" s="1"/>
      <c r="F412" s="1" t="s">
        <v>24</v>
      </c>
      <c r="G412" s="1"/>
      <c r="H412" s="1"/>
      <c r="I412" s="1"/>
      <c r="J412" s="1" t="s">
        <v>1935</v>
      </c>
      <c r="K412" s="1" t="s">
        <v>59</v>
      </c>
      <c r="L412" s="1"/>
    </row>
    <row r="413" spans="1:12" ht="22.8">
      <c r="A413" s="1" t="s">
        <v>3888</v>
      </c>
      <c r="B413" s="1" t="s">
        <v>861</v>
      </c>
      <c r="C413" s="1" t="s">
        <v>3310</v>
      </c>
      <c r="D413" s="1">
        <v>1</v>
      </c>
      <c r="E413" s="1"/>
      <c r="F413" s="1" t="s">
        <v>24</v>
      </c>
      <c r="G413" s="1"/>
      <c r="H413" s="1"/>
      <c r="I413" s="1"/>
      <c r="J413" s="1" t="s">
        <v>3889</v>
      </c>
      <c r="K413" s="1" t="s">
        <v>59</v>
      </c>
      <c r="L413" s="1"/>
    </row>
    <row r="414" spans="1:12">
      <c r="A414" s="1" t="s">
        <v>3890</v>
      </c>
      <c r="B414" s="1" t="s">
        <v>861</v>
      </c>
      <c r="C414" s="1" t="s">
        <v>3310</v>
      </c>
      <c r="D414" s="1">
        <v>1</v>
      </c>
      <c r="E414" s="1"/>
      <c r="F414" s="1" t="s">
        <v>24</v>
      </c>
      <c r="G414" s="1"/>
      <c r="H414" s="1"/>
      <c r="I414" s="1"/>
      <c r="J414" s="1" t="s">
        <v>1940</v>
      </c>
      <c r="K414" s="1" t="s">
        <v>59</v>
      </c>
      <c r="L414" s="1"/>
    </row>
    <row r="415" spans="1:12" ht="22.8">
      <c r="A415" s="1" t="s">
        <v>3891</v>
      </c>
      <c r="B415" s="1" t="s">
        <v>861</v>
      </c>
      <c r="C415" s="1" t="s">
        <v>3310</v>
      </c>
      <c r="D415" s="1">
        <v>1</v>
      </c>
      <c r="E415" s="1"/>
      <c r="F415" s="1" t="s">
        <v>24</v>
      </c>
      <c r="G415" s="1"/>
      <c r="H415" s="1"/>
      <c r="I415" s="1"/>
      <c r="J415" s="1" t="s">
        <v>3892</v>
      </c>
      <c r="K415" s="1" t="s">
        <v>59</v>
      </c>
      <c r="L415" s="1"/>
    </row>
    <row r="416" spans="1:12">
      <c r="A416" s="1" t="s">
        <v>3893</v>
      </c>
      <c r="B416" s="1" t="s">
        <v>861</v>
      </c>
      <c r="C416" s="1" t="s">
        <v>3310</v>
      </c>
      <c r="D416" s="1">
        <v>1</v>
      </c>
      <c r="E416" s="1"/>
      <c r="F416" s="1" t="s">
        <v>24</v>
      </c>
      <c r="G416" s="1"/>
      <c r="H416" s="1"/>
      <c r="I416" s="1"/>
      <c r="J416" s="1" t="s">
        <v>1945</v>
      </c>
      <c r="K416" s="1" t="s">
        <v>59</v>
      </c>
      <c r="L416" s="1"/>
    </row>
    <row r="417" spans="1:12" ht="22.8">
      <c r="A417" s="1" t="s">
        <v>3894</v>
      </c>
      <c r="B417" s="1" t="s">
        <v>861</v>
      </c>
      <c r="C417" s="1" t="s">
        <v>3310</v>
      </c>
      <c r="D417" s="1">
        <v>1</v>
      </c>
      <c r="E417" s="1"/>
      <c r="F417" s="1" t="s">
        <v>24</v>
      </c>
      <c r="G417" s="1"/>
      <c r="H417" s="1"/>
      <c r="I417" s="1"/>
      <c r="J417" s="1" t="s">
        <v>3895</v>
      </c>
      <c r="K417" s="1" t="s">
        <v>59</v>
      </c>
      <c r="L417" s="1"/>
    </row>
    <row r="418" spans="1:12">
      <c r="A418" s="1" t="s">
        <v>3896</v>
      </c>
      <c r="B418" s="1" t="s">
        <v>861</v>
      </c>
      <c r="C418" s="1" t="s">
        <v>3310</v>
      </c>
      <c r="D418" s="1">
        <v>1</v>
      </c>
      <c r="E418" s="1"/>
      <c r="F418" s="1" t="s">
        <v>24</v>
      </c>
      <c r="G418" s="1"/>
      <c r="H418" s="1"/>
      <c r="I418" s="1"/>
      <c r="J418" s="1" t="s">
        <v>1950</v>
      </c>
      <c r="K418" s="1" t="s">
        <v>59</v>
      </c>
      <c r="L418" s="1"/>
    </row>
    <row r="419" spans="1:12">
      <c r="A419" s="1" t="s">
        <v>3897</v>
      </c>
      <c r="B419" s="1" t="s">
        <v>861</v>
      </c>
      <c r="C419" s="1" t="s">
        <v>3310</v>
      </c>
      <c r="D419" s="1">
        <v>1</v>
      </c>
      <c r="E419" s="1"/>
      <c r="F419" s="1" t="s">
        <v>24</v>
      </c>
      <c r="G419" s="1"/>
      <c r="H419" s="1"/>
      <c r="I419" s="1"/>
      <c r="J419" s="1" t="s">
        <v>1952</v>
      </c>
      <c r="K419" s="1" t="s">
        <v>59</v>
      </c>
      <c r="L419" s="1"/>
    </row>
    <row r="420" spans="1:12">
      <c r="A420" s="1" t="s">
        <v>3898</v>
      </c>
      <c r="B420" s="1" t="s">
        <v>861</v>
      </c>
      <c r="C420" s="1" t="s">
        <v>3310</v>
      </c>
      <c r="D420" s="1">
        <v>1</v>
      </c>
      <c r="E420" s="1"/>
      <c r="F420" s="1" t="s">
        <v>24</v>
      </c>
      <c r="G420" s="1"/>
      <c r="H420" s="1"/>
      <c r="I420" s="1"/>
      <c r="J420" s="1" t="s">
        <v>1954</v>
      </c>
      <c r="K420" s="1" t="s">
        <v>59</v>
      </c>
      <c r="L420" s="1"/>
    </row>
    <row r="421" spans="1:12">
      <c r="A421" s="1" t="s">
        <v>3899</v>
      </c>
      <c r="B421" s="1" t="s">
        <v>861</v>
      </c>
      <c r="C421" s="1" t="s">
        <v>3310</v>
      </c>
      <c r="D421" s="1">
        <v>1</v>
      </c>
      <c r="E421" s="1"/>
      <c r="F421" s="1" t="s">
        <v>24</v>
      </c>
      <c r="G421" s="1"/>
      <c r="H421" s="1"/>
      <c r="I421" s="1"/>
      <c r="J421" s="1" t="s">
        <v>1957</v>
      </c>
      <c r="K421" s="1" t="s">
        <v>59</v>
      </c>
      <c r="L421" s="1"/>
    </row>
    <row r="422" spans="1:12">
      <c r="A422" s="1" t="s">
        <v>3900</v>
      </c>
      <c r="B422" s="1" t="s">
        <v>861</v>
      </c>
      <c r="C422" s="1" t="s">
        <v>3310</v>
      </c>
      <c r="D422" s="1">
        <v>1</v>
      </c>
      <c r="E422" s="1"/>
      <c r="F422" s="1" t="s">
        <v>24</v>
      </c>
      <c r="G422" s="1"/>
      <c r="H422" s="1"/>
      <c r="I422" s="1"/>
      <c r="J422" s="1" t="s">
        <v>1960</v>
      </c>
      <c r="K422" s="1" t="s">
        <v>59</v>
      </c>
      <c r="L422" s="1"/>
    </row>
    <row r="423" spans="1:12" ht="22.8">
      <c r="A423" s="1" t="s">
        <v>3901</v>
      </c>
      <c r="B423" s="1" t="s">
        <v>861</v>
      </c>
      <c r="C423" s="1" t="s">
        <v>3310</v>
      </c>
      <c r="D423" s="1">
        <v>1</v>
      </c>
      <c r="E423" s="1"/>
      <c r="F423" s="1" t="s">
        <v>24</v>
      </c>
      <c r="G423" s="1"/>
      <c r="H423" s="1"/>
      <c r="I423" s="1"/>
      <c r="J423" s="1" t="s">
        <v>3902</v>
      </c>
      <c r="K423" s="1" t="s">
        <v>59</v>
      </c>
      <c r="L423" s="1"/>
    </row>
    <row r="424" spans="1:12">
      <c r="A424" s="1" t="s">
        <v>3903</v>
      </c>
      <c r="B424" s="1" t="s">
        <v>861</v>
      </c>
      <c r="C424" s="1" t="s">
        <v>3310</v>
      </c>
      <c r="D424" s="1">
        <v>1</v>
      </c>
      <c r="E424" s="1"/>
      <c r="F424" s="1" t="s">
        <v>24</v>
      </c>
      <c r="G424" s="1"/>
      <c r="H424" s="1"/>
      <c r="I424" s="1"/>
      <c r="J424" s="1" t="s">
        <v>1966</v>
      </c>
      <c r="K424" s="1" t="s">
        <v>59</v>
      </c>
      <c r="L424" s="1"/>
    </row>
    <row r="425" spans="1:12">
      <c r="A425" s="1" t="s">
        <v>3904</v>
      </c>
      <c r="B425" s="1" t="s">
        <v>861</v>
      </c>
      <c r="C425" s="1" t="s">
        <v>3310</v>
      </c>
      <c r="D425" s="1">
        <v>1</v>
      </c>
      <c r="E425" s="1"/>
      <c r="F425" s="1" t="s">
        <v>24</v>
      </c>
      <c r="G425" s="1"/>
      <c r="H425" s="1"/>
      <c r="I425" s="1"/>
      <c r="J425" s="1" t="s">
        <v>1969</v>
      </c>
      <c r="K425" s="1" t="s">
        <v>59</v>
      </c>
      <c r="L425" s="1"/>
    </row>
    <row r="426" spans="1:12">
      <c r="A426" s="1" t="s">
        <v>3905</v>
      </c>
      <c r="B426" s="1" t="s">
        <v>861</v>
      </c>
      <c r="C426" s="1" t="s">
        <v>3310</v>
      </c>
      <c r="D426" s="1">
        <v>1</v>
      </c>
      <c r="E426" s="1"/>
      <c r="F426" s="1" t="s">
        <v>24</v>
      </c>
      <c r="G426" s="1"/>
      <c r="H426" s="1"/>
      <c r="I426" s="1"/>
      <c r="J426" s="1" t="s">
        <v>1972</v>
      </c>
      <c r="K426" s="1" t="s">
        <v>59</v>
      </c>
      <c r="L426" s="1"/>
    </row>
    <row r="427" spans="1:12">
      <c r="A427" s="1" t="s">
        <v>3906</v>
      </c>
      <c r="B427" s="1" t="s">
        <v>861</v>
      </c>
      <c r="C427" s="1" t="s">
        <v>3310</v>
      </c>
      <c r="D427" s="1">
        <v>1</v>
      </c>
      <c r="E427" s="1"/>
      <c r="F427" s="1" t="s">
        <v>24</v>
      </c>
      <c r="G427" s="1"/>
      <c r="H427" s="1"/>
      <c r="I427" s="1"/>
      <c r="J427" s="1" t="s">
        <v>1974</v>
      </c>
      <c r="K427" s="1" t="s">
        <v>59</v>
      </c>
      <c r="L427" s="1"/>
    </row>
    <row r="428" spans="1:12">
      <c r="A428" s="1" t="s">
        <v>3907</v>
      </c>
      <c r="B428" s="1" t="s">
        <v>861</v>
      </c>
      <c r="C428" s="1" t="s">
        <v>3310</v>
      </c>
      <c r="D428" s="1">
        <v>1</v>
      </c>
      <c r="E428" s="1"/>
      <c r="F428" s="1" t="s">
        <v>24</v>
      </c>
      <c r="G428" s="1"/>
      <c r="H428" s="1"/>
      <c r="I428" s="1"/>
      <c r="J428" s="1" t="s">
        <v>1976</v>
      </c>
      <c r="K428" s="1" t="s">
        <v>59</v>
      </c>
      <c r="L428" s="1"/>
    </row>
    <row r="429" spans="1:12">
      <c r="A429" s="1" t="s">
        <v>3908</v>
      </c>
      <c r="B429" s="1" t="s">
        <v>861</v>
      </c>
      <c r="C429" s="1" t="s">
        <v>3310</v>
      </c>
      <c r="D429" s="1">
        <v>1</v>
      </c>
      <c r="E429" s="1"/>
      <c r="F429" s="1" t="s">
        <v>24</v>
      </c>
      <c r="G429" s="1"/>
      <c r="H429" s="1"/>
      <c r="I429" s="1"/>
      <c r="J429" s="1" t="s">
        <v>1978</v>
      </c>
      <c r="K429" s="1" t="s">
        <v>59</v>
      </c>
      <c r="L429" s="1"/>
    </row>
    <row r="430" spans="1:12">
      <c r="A430" s="1" t="s">
        <v>3909</v>
      </c>
      <c r="B430" s="1" t="s">
        <v>861</v>
      </c>
      <c r="C430" s="1" t="s">
        <v>3310</v>
      </c>
      <c r="D430" s="1">
        <v>1</v>
      </c>
      <c r="E430" s="1"/>
      <c r="F430" s="1" t="s">
        <v>24</v>
      </c>
      <c r="G430" s="1"/>
      <c r="H430" s="1"/>
      <c r="I430" s="1"/>
      <c r="J430" s="1" t="s">
        <v>1981</v>
      </c>
      <c r="K430" s="1" t="s">
        <v>59</v>
      </c>
      <c r="L430" s="1"/>
    </row>
    <row r="431" spans="1:12">
      <c r="A431" s="1" t="s">
        <v>3910</v>
      </c>
      <c r="B431" s="1" t="s">
        <v>861</v>
      </c>
      <c r="C431" s="1" t="s">
        <v>3310</v>
      </c>
      <c r="D431" s="1">
        <v>1</v>
      </c>
      <c r="E431" s="1"/>
      <c r="F431" s="1" t="s">
        <v>24</v>
      </c>
      <c r="G431" s="1"/>
      <c r="H431" s="1"/>
      <c r="I431" s="1"/>
      <c r="J431" s="1" t="s">
        <v>1984</v>
      </c>
      <c r="K431" s="1" t="s">
        <v>59</v>
      </c>
      <c r="L431" s="1"/>
    </row>
    <row r="432" spans="1:12">
      <c r="A432" s="1" t="s">
        <v>3911</v>
      </c>
      <c r="B432" s="1" t="s">
        <v>861</v>
      </c>
      <c r="C432" s="1" t="s">
        <v>3310</v>
      </c>
      <c r="D432" s="1">
        <v>1</v>
      </c>
      <c r="E432" s="1"/>
      <c r="F432" s="1" t="s">
        <v>24</v>
      </c>
      <c r="G432" s="1"/>
      <c r="H432" s="1"/>
      <c r="I432" s="1"/>
      <c r="J432" s="1" t="s">
        <v>1986</v>
      </c>
      <c r="K432" s="1" t="s">
        <v>59</v>
      </c>
      <c r="L432" s="1"/>
    </row>
    <row r="433" spans="1:12">
      <c r="A433" s="1" t="s">
        <v>3912</v>
      </c>
      <c r="B433" s="1" t="s">
        <v>861</v>
      </c>
      <c r="C433" s="1" t="s">
        <v>3310</v>
      </c>
      <c r="D433" s="1">
        <v>1</v>
      </c>
      <c r="E433" s="1"/>
      <c r="F433" s="1" t="s">
        <v>24</v>
      </c>
      <c r="G433" s="1"/>
      <c r="H433" s="1"/>
      <c r="I433" s="1"/>
      <c r="J433" s="1" t="s">
        <v>1988</v>
      </c>
      <c r="K433" s="1" t="s">
        <v>59</v>
      </c>
      <c r="L433" s="1"/>
    </row>
    <row r="434" spans="1:12">
      <c r="A434" s="1" t="s">
        <v>3913</v>
      </c>
      <c r="B434" s="1" t="s">
        <v>861</v>
      </c>
      <c r="C434" s="1" t="s">
        <v>3310</v>
      </c>
      <c r="D434" s="1">
        <v>1</v>
      </c>
      <c r="E434" s="1"/>
      <c r="F434" s="1" t="s">
        <v>24</v>
      </c>
      <c r="G434" s="1"/>
      <c r="H434" s="1"/>
      <c r="I434" s="1"/>
      <c r="J434" s="1" t="s">
        <v>1990</v>
      </c>
      <c r="K434" s="1" t="s">
        <v>59</v>
      </c>
      <c r="L434" s="1"/>
    </row>
    <row r="435" spans="1:12">
      <c r="A435" s="1" t="s">
        <v>3914</v>
      </c>
      <c r="B435" s="1" t="s">
        <v>861</v>
      </c>
      <c r="C435" s="1" t="s">
        <v>3310</v>
      </c>
      <c r="D435" s="1">
        <v>1</v>
      </c>
      <c r="E435" s="1"/>
      <c r="F435" s="1" t="s">
        <v>24</v>
      </c>
      <c r="G435" s="1"/>
      <c r="H435" s="1"/>
      <c r="I435" s="1"/>
      <c r="J435" s="1" t="s">
        <v>1992</v>
      </c>
      <c r="K435" s="1" t="s">
        <v>59</v>
      </c>
      <c r="L435" s="1"/>
    </row>
    <row r="436" spans="1:12">
      <c r="A436" s="1" t="s">
        <v>3915</v>
      </c>
      <c r="B436" s="1" t="s">
        <v>861</v>
      </c>
      <c r="C436" s="1" t="s">
        <v>3310</v>
      </c>
      <c r="D436" s="1">
        <v>1</v>
      </c>
      <c r="E436" s="1"/>
      <c r="F436" s="1" t="s">
        <v>24</v>
      </c>
      <c r="G436" s="1"/>
      <c r="H436" s="1"/>
      <c r="I436" s="1"/>
      <c r="J436" s="1" t="s">
        <v>1994</v>
      </c>
      <c r="K436" s="1" t="s">
        <v>59</v>
      </c>
      <c r="L436" s="1"/>
    </row>
    <row r="437" spans="1:12">
      <c r="A437" s="1" t="s">
        <v>3916</v>
      </c>
      <c r="B437" s="1" t="s">
        <v>861</v>
      </c>
      <c r="C437" s="1" t="s">
        <v>3310</v>
      </c>
      <c r="D437" s="1">
        <v>1</v>
      </c>
      <c r="E437" s="1"/>
      <c r="F437" s="1" t="s">
        <v>24</v>
      </c>
      <c r="G437" s="1"/>
      <c r="H437" s="1"/>
      <c r="I437" s="1"/>
      <c r="J437" s="1" t="s">
        <v>1996</v>
      </c>
      <c r="K437" s="1" t="s">
        <v>59</v>
      </c>
      <c r="L437" s="1"/>
    </row>
    <row r="438" spans="1:12">
      <c r="A438" s="1" t="s">
        <v>3917</v>
      </c>
      <c r="B438" s="1" t="s">
        <v>861</v>
      </c>
      <c r="C438" s="1" t="s">
        <v>3310</v>
      </c>
      <c r="D438" s="1">
        <v>1</v>
      </c>
      <c r="E438" s="1"/>
      <c r="F438" s="1" t="s">
        <v>24</v>
      </c>
      <c r="G438" s="1"/>
      <c r="H438" s="1"/>
      <c r="I438" s="1"/>
      <c r="J438" s="1" t="s">
        <v>1998</v>
      </c>
      <c r="K438" s="1" t="s">
        <v>59</v>
      </c>
      <c r="L438" s="1"/>
    </row>
    <row r="439" spans="1:12">
      <c r="A439" s="1" t="s">
        <v>3918</v>
      </c>
      <c r="B439" s="1" t="s">
        <v>861</v>
      </c>
      <c r="C439" s="1" t="s">
        <v>3310</v>
      </c>
      <c r="D439" s="1">
        <v>1</v>
      </c>
      <c r="E439" s="1"/>
      <c r="F439" s="1" t="s">
        <v>24</v>
      </c>
      <c r="G439" s="1"/>
      <c r="H439" s="1"/>
      <c r="I439" s="1"/>
      <c r="J439" s="1" t="s">
        <v>2000</v>
      </c>
      <c r="K439" s="1" t="s">
        <v>59</v>
      </c>
      <c r="L439" s="1"/>
    </row>
    <row r="440" spans="1:12" ht="22.8">
      <c r="A440" s="1" t="s">
        <v>3919</v>
      </c>
      <c r="B440" s="1" t="s">
        <v>861</v>
      </c>
      <c r="C440" s="1" t="s">
        <v>3310</v>
      </c>
      <c r="D440" s="1">
        <v>1</v>
      </c>
      <c r="E440" s="1"/>
      <c r="F440" s="1" t="s">
        <v>24</v>
      </c>
      <c r="G440" s="1"/>
      <c r="H440" s="1"/>
      <c r="I440" s="1"/>
      <c r="J440" s="1" t="s">
        <v>3920</v>
      </c>
      <c r="K440" s="1" t="s">
        <v>59</v>
      </c>
      <c r="L440" s="1"/>
    </row>
    <row r="441" spans="1:12" ht="34.200000000000003">
      <c r="A441" s="1" t="s">
        <v>3921</v>
      </c>
      <c r="B441" s="1" t="s">
        <v>861</v>
      </c>
      <c r="C441" s="1" t="s">
        <v>3310</v>
      </c>
      <c r="D441" s="1">
        <v>1</v>
      </c>
      <c r="E441" s="1"/>
      <c r="F441" s="1" t="s">
        <v>24</v>
      </c>
      <c r="G441" s="1"/>
      <c r="H441" s="1"/>
      <c r="I441" s="1"/>
      <c r="J441" s="1" t="s">
        <v>3922</v>
      </c>
      <c r="K441" s="1" t="s">
        <v>59</v>
      </c>
      <c r="L441" s="1"/>
    </row>
    <row r="442" spans="1:12">
      <c r="A442" s="1" t="s">
        <v>3923</v>
      </c>
      <c r="B442" s="1" t="s">
        <v>2008</v>
      </c>
      <c r="C442" s="1" t="s">
        <v>3320</v>
      </c>
      <c r="D442" s="1">
        <v>1</v>
      </c>
      <c r="E442" s="1">
        <v>2</v>
      </c>
      <c r="F442" s="1" t="s">
        <v>24</v>
      </c>
      <c r="G442" s="1"/>
      <c r="H442" s="1" t="s">
        <v>2010</v>
      </c>
      <c r="I442" s="1"/>
      <c r="J442" s="1" t="s">
        <v>2011</v>
      </c>
      <c r="K442" s="1" t="s">
        <v>59</v>
      </c>
      <c r="L442" s="1"/>
    </row>
    <row r="443" spans="1:12">
      <c r="A443" s="1" t="s">
        <v>3924</v>
      </c>
      <c r="B443" s="1" t="s">
        <v>2013</v>
      </c>
      <c r="C443" s="1" t="s">
        <v>3310</v>
      </c>
      <c r="D443" s="1">
        <v>1</v>
      </c>
      <c r="E443" s="1"/>
      <c r="F443" s="1" t="s">
        <v>24</v>
      </c>
      <c r="G443" s="1"/>
      <c r="H443" s="1"/>
      <c r="I443" s="1"/>
      <c r="J443" s="1" t="s">
        <v>2014</v>
      </c>
      <c r="K443" s="1" t="s">
        <v>59</v>
      </c>
      <c r="L443" s="1"/>
    </row>
    <row r="444" spans="1:12">
      <c r="A444" s="1" t="s">
        <v>3925</v>
      </c>
      <c r="B444" s="1" t="s">
        <v>2016</v>
      </c>
      <c r="C444" s="1" t="s">
        <v>3310</v>
      </c>
      <c r="D444" s="1">
        <v>1</v>
      </c>
      <c r="E444" s="1"/>
      <c r="F444" s="1" t="s">
        <v>24</v>
      </c>
      <c r="G444" s="1"/>
      <c r="H444" s="1"/>
      <c r="I444" s="1"/>
      <c r="J444" s="1" t="s">
        <v>2018</v>
      </c>
      <c r="K444" s="1" t="s">
        <v>59</v>
      </c>
      <c r="L444" s="1"/>
    </row>
    <row r="445" spans="1:12">
      <c r="A445" s="1" t="s">
        <v>3926</v>
      </c>
      <c r="B445" s="1" t="s">
        <v>2020</v>
      </c>
      <c r="C445" s="1" t="s">
        <v>3310</v>
      </c>
      <c r="D445" s="1">
        <v>1</v>
      </c>
      <c r="E445" s="1"/>
      <c r="F445" s="1" t="s">
        <v>24</v>
      </c>
      <c r="G445" s="1"/>
      <c r="H445" s="1"/>
      <c r="I445" s="1"/>
      <c r="J445" s="1" t="s">
        <v>2021</v>
      </c>
      <c r="K445" s="1" t="s">
        <v>59</v>
      </c>
      <c r="L445" s="1"/>
    </row>
    <row r="446" spans="1:12" ht="262.2">
      <c r="A446" s="1" t="s">
        <v>3927</v>
      </c>
      <c r="B446" s="1" t="s">
        <v>2023</v>
      </c>
      <c r="C446" s="1" t="s">
        <v>3320</v>
      </c>
      <c r="D446" s="1">
        <v>13</v>
      </c>
      <c r="E446" s="1">
        <v>17</v>
      </c>
      <c r="F446" s="1" t="s">
        <v>24</v>
      </c>
      <c r="G446" s="1"/>
      <c r="H446" s="1" t="s">
        <v>3928</v>
      </c>
      <c r="I446" s="1"/>
      <c r="J446" s="1" t="s">
        <v>3929</v>
      </c>
      <c r="K446" s="1" t="s">
        <v>59</v>
      </c>
      <c r="L446" s="1"/>
    </row>
    <row r="447" spans="1:12">
      <c r="A447" s="1" t="s">
        <v>3930</v>
      </c>
      <c r="B447" s="1" t="s">
        <v>2034</v>
      </c>
      <c r="C447" s="1" t="s">
        <v>3320</v>
      </c>
      <c r="D447" s="1">
        <v>1</v>
      </c>
      <c r="E447" s="1"/>
      <c r="F447" s="1" t="s">
        <v>24</v>
      </c>
      <c r="G447" s="1"/>
      <c r="H447" s="1"/>
      <c r="I447" s="1"/>
      <c r="J447" s="1" t="s">
        <v>2035</v>
      </c>
      <c r="K447" s="1" t="s">
        <v>59</v>
      </c>
      <c r="L447" s="1"/>
    </row>
    <row r="448" spans="1:12">
      <c r="A448" s="1" t="s">
        <v>3931</v>
      </c>
      <c r="B448" s="1" t="s">
        <v>2081</v>
      </c>
      <c r="C448" s="1" t="s">
        <v>3310</v>
      </c>
      <c r="D448" s="1">
        <v>1</v>
      </c>
      <c r="E448" s="1">
        <v>1</v>
      </c>
      <c r="F448" s="1" t="s">
        <v>24</v>
      </c>
      <c r="G448" s="1"/>
      <c r="H448" s="1"/>
      <c r="I448" s="1"/>
      <c r="J448" s="1" t="s">
        <v>2082</v>
      </c>
      <c r="K448" s="1" t="s">
        <v>59</v>
      </c>
      <c r="L448" s="1"/>
    </row>
    <row r="449" spans="1:12" ht="22.8">
      <c r="A449" s="1" t="s">
        <v>3932</v>
      </c>
      <c r="B449" s="1" t="s">
        <v>2084</v>
      </c>
      <c r="C449" s="1" t="s">
        <v>3310</v>
      </c>
      <c r="D449" s="1">
        <v>1</v>
      </c>
      <c r="E449" s="1"/>
      <c r="F449" s="1" t="s">
        <v>24</v>
      </c>
      <c r="G449" s="1"/>
      <c r="H449" s="1"/>
      <c r="I449" s="1"/>
      <c r="J449" s="1" t="s">
        <v>3933</v>
      </c>
      <c r="K449" s="1" t="s">
        <v>59</v>
      </c>
      <c r="L449" s="1"/>
    </row>
    <row r="450" spans="1:12" ht="22.8">
      <c r="A450" s="1" t="s">
        <v>3934</v>
      </c>
      <c r="B450" s="1" t="s">
        <v>2088</v>
      </c>
      <c r="C450" s="1" t="s">
        <v>3320</v>
      </c>
      <c r="D450" s="1">
        <v>1</v>
      </c>
      <c r="E450" s="1">
        <v>7</v>
      </c>
      <c r="F450" s="1" t="s">
        <v>24</v>
      </c>
      <c r="G450" s="1"/>
      <c r="H450" s="1" t="s">
        <v>2090</v>
      </c>
      <c r="I450" s="1"/>
      <c r="J450" s="1" t="s">
        <v>3935</v>
      </c>
      <c r="K450" s="1" t="s">
        <v>59</v>
      </c>
      <c r="L450" s="1"/>
    </row>
    <row r="451" spans="1:12" ht="148.19999999999999">
      <c r="A451" s="1" t="s">
        <v>3936</v>
      </c>
      <c r="B451" s="1" t="s">
        <v>2094</v>
      </c>
      <c r="C451" s="1" t="s">
        <v>3320</v>
      </c>
      <c r="D451" s="1">
        <v>8</v>
      </c>
      <c r="E451" s="1">
        <v>16</v>
      </c>
      <c r="F451" s="1" t="s">
        <v>24</v>
      </c>
      <c r="G451" s="1"/>
      <c r="H451" s="1" t="s">
        <v>2096</v>
      </c>
      <c r="I451" s="1"/>
      <c r="J451" s="1" t="s">
        <v>3937</v>
      </c>
      <c r="K451" s="1" t="s">
        <v>59</v>
      </c>
      <c r="L451" s="1"/>
    </row>
    <row r="452" spans="1:12" ht="22.8">
      <c r="A452" s="1" t="s">
        <v>3938</v>
      </c>
      <c r="B452" s="1" t="s">
        <v>2131</v>
      </c>
      <c r="C452" s="1" t="s">
        <v>3310</v>
      </c>
      <c r="D452" s="1">
        <v>1</v>
      </c>
      <c r="E452" s="1">
        <v>1</v>
      </c>
      <c r="F452" s="1" t="s">
        <v>24</v>
      </c>
      <c r="G452" s="1"/>
      <c r="H452" s="1" t="s">
        <v>2133</v>
      </c>
      <c r="I452" s="1"/>
      <c r="J452" s="1" t="s">
        <v>3939</v>
      </c>
      <c r="K452" s="1" t="s">
        <v>59</v>
      </c>
      <c r="L452" s="1"/>
    </row>
    <row r="453" spans="1:12" ht="22.8">
      <c r="A453" s="1" t="s">
        <v>3940</v>
      </c>
      <c r="B453" s="1" t="s">
        <v>2137</v>
      </c>
      <c r="C453" s="1" t="s">
        <v>3320</v>
      </c>
      <c r="D453" s="1">
        <v>1</v>
      </c>
      <c r="E453" s="1">
        <v>3</v>
      </c>
      <c r="F453" s="1" t="s">
        <v>24</v>
      </c>
      <c r="G453" s="1"/>
      <c r="H453" s="1"/>
      <c r="I453" s="1"/>
      <c r="J453" s="1" t="s">
        <v>3941</v>
      </c>
      <c r="K453" s="1" t="s">
        <v>59</v>
      </c>
      <c r="L453" s="1"/>
    </row>
    <row r="454" spans="1:12" ht="79.8">
      <c r="A454" s="1" t="s">
        <v>3942</v>
      </c>
      <c r="B454" s="1" t="s">
        <v>2142</v>
      </c>
      <c r="C454" s="1" t="s">
        <v>3320</v>
      </c>
      <c r="D454" s="1">
        <v>5</v>
      </c>
      <c r="E454" s="1">
        <v>8</v>
      </c>
      <c r="F454" s="1" t="s">
        <v>24</v>
      </c>
      <c r="G454" s="1"/>
      <c r="H454" s="1" t="s">
        <v>2144</v>
      </c>
      <c r="I454" s="1"/>
      <c r="J454" s="1" t="s">
        <v>3943</v>
      </c>
      <c r="K454" s="1" t="s">
        <v>59</v>
      </c>
      <c r="L454" s="1"/>
    </row>
    <row r="455" spans="1:12" ht="148.19999999999999">
      <c r="A455" s="1" t="s">
        <v>3944</v>
      </c>
      <c r="B455" s="1" t="s">
        <v>2160</v>
      </c>
      <c r="C455" s="1" t="s">
        <v>3320</v>
      </c>
      <c r="D455" s="1">
        <v>3</v>
      </c>
      <c r="E455" s="1">
        <v>7</v>
      </c>
      <c r="F455" s="1" t="s">
        <v>24</v>
      </c>
      <c r="G455" s="1" t="s">
        <v>1218</v>
      </c>
      <c r="H455" s="1" t="s">
        <v>2166</v>
      </c>
      <c r="I455" s="1"/>
      <c r="J455" s="1" t="s">
        <v>3945</v>
      </c>
      <c r="K455" s="1" t="s">
        <v>59</v>
      </c>
      <c r="L455" s="1"/>
    </row>
    <row r="456" spans="1:12" ht="399">
      <c r="A456" s="1" t="s">
        <v>3946</v>
      </c>
      <c r="B456" s="1" t="s">
        <v>2173</v>
      </c>
      <c r="C456" s="1" t="s">
        <v>3320</v>
      </c>
      <c r="D456" s="1">
        <v>20</v>
      </c>
      <c r="E456" s="1">
        <v>22</v>
      </c>
      <c r="F456" s="1" t="s">
        <v>24</v>
      </c>
      <c r="G456" s="1"/>
      <c r="H456" s="1" t="s">
        <v>3947</v>
      </c>
      <c r="I456" s="1"/>
      <c r="J456" s="1" t="s">
        <v>3948</v>
      </c>
      <c r="K456" s="1" t="s">
        <v>59</v>
      </c>
      <c r="L456" s="1"/>
    </row>
    <row r="457" spans="1:12" ht="216.6">
      <c r="A457" s="1" t="s">
        <v>3949</v>
      </c>
      <c r="B457" s="1" t="s">
        <v>2243</v>
      </c>
      <c r="C457" s="1" t="s">
        <v>3320</v>
      </c>
      <c r="D457" s="1">
        <v>9</v>
      </c>
      <c r="E457" s="1">
        <v>12</v>
      </c>
      <c r="F457" s="1" t="s">
        <v>24</v>
      </c>
      <c r="G457" s="1"/>
      <c r="H457" s="1" t="s">
        <v>3950</v>
      </c>
      <c r="I457" s="1"/>
      <c r="J457" s="1" t="s">
        <v>3951</v>
      </c>
      <c r="K457" s="1" t="s">
        <v>59</v>
      </c>
      <c r="L457" s="1"/>
    </row>
    <row r="458" spans="1:12" ht="57">
      <c r="A458" s="1" t="s">
        <v>3952</v>
      </c>
      <c r="B458" s="1" t="s">
        <v>2289</v>
      </c>
      <c r="C458" s="1" t="s">
        <v>3320</v>
      </c>
      <c r="D458" s="1">
        <v>4</v>
      </c>
      <c r="E458" s="1">
        <v>15</v>
      </c>
      <c r="F458" s="1" t="s">
        <v>24</v>
      </c>
      <c r="G458" s="1"/>
      <c r="H458" s="1" t="s">
        <v>2291</v>
      </c>
      <c r="I458" s="1"/>
      <c r="J458" s="1" t="s">
        <v>3953</v>
      </c>
      <c r="K458" s="1" t="s">
        <v>59</v>
      </c>
      <c r="L458" s="1"/>
    </row>
    <row r="459" spans="1:12" ht="34.200000000000003">
      <c r="A459" s="1" t="s">
        <v>3954</v>
      </c>
      <c r="B459" s="1" t="s">
        <v>2303</v>
      </c>
      <c r="C459" s="1" t="s">
        <v>3310</v>
      </c>
      <c r="D459" s="1">
        <v>1</v>
      </c>
      <c r="E459" s="1">
        <v>1</v>
      </c>
      <c r="F459" s="1" t="s">
        <v>24</v>
      </c>
      <c r="G459" s="1"/>
      <c r="H459" s="1"/>
      <c r="I459" s="1"/>
      <c r="J459" s="1" t="s">
        <v>3955</v>
      </c>
      <c r="K459" s="1" t="s">
        <v>59</v>
      </c>
      <c r="L459" s="1"/>
    </row>
    <row r="460" spans="1:12" ht="22.8">
      <c r="A460" s="1" t="s">
        <v>3956</v>
      </c>
      <c r="B460" s="1" t="s">
        <v>2308</v>
      </c>
      <c r="C460" s="1" t="s">
        <v>3320</v>
      </c>
      <c r="D460" s="1">
        <v>2</v>
      </c>
      <c r="E460" s="1">
        <v>16</v>
      </c>
      <c r="F460" s="1" t="s">
        <v>26</v>
      </c>
      <c r="G460" s="1"/>
      <c r="H460" s="1"/>
      <c r="I460" s="1"/>
      <c r="J460" s="1" t="s">
        <v>3957</v>
      </c>
      <c r="K460" s="1" t="s">
        <v>59</v>
      </c>
      <c r="L460" s="1"/>
    </row>
    <row r="461" spans="1:12">
      <c r="A461" s="1" t="s">
        <v>3958</v>
      </c>
      <c r="B461" s="1" t="s">
        <v>2314</v>
      </c>
      <c r="C461" s="1" t="s">
        <v>3310</v>
      </c>
      <c r="D461" s="1">
        <v>1</v>
      </c>
      <c r="E461" s="1">
        <v>1</v>
      </c>
      <c r="F461" s="1" t="s">
        <v>26</v>
      </c>
      <c r="G461" s="1"/>
      <c r="H461" s="1"/>
      <c r="I461" s="1"/>
      <c r="J461" s="1" t="s">
        <v>2316</v>
      </c>
      <c r="K461" s="1" t="s">
        <v>59</v>
      </c>
      <c r="L461" s="1"/>
    </row>
    <row r="462" spans="1:12" ht="57">
      <c r="A462" s="1" t="s">
        <v>3959</v>
      </c>
      <c r="B462" s="1" t="s">
        <v>2318</v>
      </c>
      <c r="C462" s="1" t="s">
        <v>3320</v>
      </c>
      <c r="D462" s="1">
        <v>4</v>
      </c>
      <c r="E462" s="1">
        <v>10</v>
      </c>
      <c r="F462" s="1" t="s">
        <v>26</v>
      </c>
      <c r="G462" s="1"/>
      <c r="H462" s="1" t="s">
        <v>2320</v>
      </c>
      <c r="I462" s="1"/>
      <c r="J462" s="1" t="s">
        <v>3960</v>
      </c>
      <c r="K462" s="1" t="s">
        <v>59</v>
      </c>
      <c r="L462" s="1"/>
    </row>
    <row r="463" spans="1:12">
      <c r="A463" s="1" t="s">
        <v>3961</v>
      </c>
      <c r="B463" s="1" t="s">
        <v>2333</v>
      </c>
      <c r="C463" s="1" t="s">
        <v>3310</v>
      </c>
      <c r="D463" s="1">
        <v>1</v>
      </c>
      <c r="E463" s="1"/>
      <c r="F463" s="1" t="s">
        <v>26</v>
      </c>
      <c r="G463" s="1"/>
      <c r="H463" s="1"/>
      <c r="I463" s="1"/>
      <c r="J463" s="1" t="s">
        <v>2334</v>
      </c>
      <c r="K463" s="1" t="s">
        <v>59</v>
      </c>
      <c r="L463" s="1"/>
    </row>
    <row r="464" spans="1:12" ht="136.80000000000001">
      <c r="A464" s="1" t="s">
        <v>3962</v>
      </c>
      <c r="B464" s="1" t="s">
        <v>2338</v>
      </c>
      <c r="C464" s="1" t="s">
        <v>3320</v>
      </c>
      <c r="D464" s="1">
        <v>10</v>
      </c>
      <c r="E464" s="1">
        <v>41</v>
      </c>
      <c r="F464" s="1" t="s">
        <v>26</v>
      </c>
      <c r="G464" s="1"/>
      <c r="H464" s="1" t="s">
        <v>2340</v>
      </c>
      <c r="I464" s="1"/>
      <c r="J464" s="1" t="s">
        <v>3963</v>
      </c>
      <c r="K464" s="1" t="s">
        <v>59</v>
      </c>
      <c r="L464" s="1"/>
    </row>
    <row r="465" spans="1:12">
      <c r="A465" s="1" t="s">
        <v>3964</v>
      </c>
      <c r="B465" s="1" t="s">
        <v>861</v>
      </c>
      <c r="C465" s="1" t="s">
        <v>3310</v>
      </c>
      <c r="D465" s="1">
        <v>1</v>
      </c>
      <c r="E465" s="1"/>
      <c r="F465" s="1" t="s">
        <v>26</v>
      </c>
      <c r="G465" s="1"/>
      <c r="H465" s="1"/>
      <c r="I465" s="1"/>
      <c r="J465" s="1" t="s">
        <v>2381</v>
      </c>
      <c r="K465" s="1" t="s">
        <v>59</v>
      </c>
      <c r="L465" s="1"/>
    </row>
    <row r="466" spans="1:12">
      <c r="A466" s="1" t="s">
        <v>3965</v>
      </c>
      <c r="B466" s="1" t="s">
        <v>861</v>
      </c>
      <c r="C466" s="1" t="s">
        <v>3310</v>
      </c>
      <c r="D466" s="1">
        <v>1</v>
      </c>
      <c r="E466" s="1"/>
      <c r="F466" s="1" t="s">
        <v>26</v>
      </c>
      <c r="G466" s="1"/>
      <c r="H466" s="1"/>
      <c r="I466" s="1"/>
      <c r="J466" s="1" t="s">
        <v>2383</v>
      </c>
      <c r="K466" s="1" t="s">
        <v>59</v>
      </c>
      <c r="L466" s="1"/>
    </row>
    <row r="467" spans="1:12" ht="45.6">
      <c r="A467" s="1" t="s">
        <v>3966</v>
      </c>
      <c r="B467" s="1" t="s">
        <v>2385</v>
      </c>
      <c r="C467" s="1" t="s">
        <v>3320</v>
      </c>
      <c r="D467" s="1">
        <v>3</v>
      </c>
      <c r="E467" s="1">
        <v>7</v>
      </c>
      <c r="F467" s="1" t="s">
        <v>26</v>
      </c>
      <c r="G467" s="1"/>
      <c r="H467" s="1"/>
      <c r="I467" s="1"/>
      <c r="J467" s="1" t="s">
        <v>3967</v>
      </c>
      <c r="K467" s="1" t="s">
        <v>59</v>
      </c>
      <c r="L467" s="1"/>
    </row>
    <row r="468" spans="1:12" ht="342">
      <c r="A468" s="1" t="s">
        <v>3968</v>
      </c>
      <c r="B468" s="1" t="s">
        <v>2396</v>
      </c>
      <c r="C468" s="1" t="s">
        <v>3320</v>
      </c>
      <c r="D468" s="1">
        <v>21</v>
      </c>
      <c r="E468" s="1">
        <v>5</v>
      </c>
      <c r="F468" s="1" t="s">
        <v>26</v>
      </c>
      <c r="G468" s="1"/>
      <c r="H468" s="1" t="s">
        <v>3969</v>
      </c>
      <c r="I468" s="1"/>
      <c r="J468" s="1" t="s">
        <v>3970</v>
      </c>
      <c r="K468" s="1" t="s">
        <v>59</v>
      </c>
      <c r="L468" s="1"/>
    </row>
    <row r="469" spans="1:12">
      <c r="A469" s="1" t="s">
        <v>3971</v>
      </c>
      <c r="B469" s="1" t="s">
        <v>2457</v>
      </c>
      <c r="C469" s="1" t="s">
        <v>3310</v>
      </c>
      <c r="D469" s="1">
        <v>1</v>
      </c>
      <c r="E469" s="1">
        <v>1</v>
      </c>
      <c r="F469" s="1" t="s">
        <v>26</v>
      </c>
      <c r="G469" s="1"/>
      <c r="H469" s="1"/>
      <c r="I469" s="1"/>
      <c r="J469" s="1" t="s">
        <v>2459</v>
      </c>
      <c r="K469" s="1" t="s">
        <v>59</v>
      </c>
      <c r="L469" s="1"/>
    </row>
    <row r="470" spans="1:12" ht="91.2">
      <c r="A470" s="1" t="s">
        <v>3972</v>
      </c>
      <c r="B470" s="1" t="s">
        <v>1046</v>
      </c>
      <c r="C470" s="1" t="s">
        <v>3310</v>
      </c>
      <c r="D470" s="1">
        <v>1</v>
      </c>
      <c r="E470" s="1"/>
      <c r="F470" s="1" t="s">
        <v>22</v>
      </c>
      <c r="G470" s="1" t="s">
        <v>251</v>
      </c>
      <c r="H470" s="1" t="s">
        <v>2462</v>
      </c>
      <c r="I470" s="1"/>
      <c r="J470" s="1" t="s">
        <v>3973</v>
      </c>
      <c r="K470" s="1" t="s">
        <v>59</v>
      </c>
      <c r="L470" s="1"/>
    </row>
    <row r="471" spans="1:12" ht="182.4">
      <c r="A471" s="1" t="s">
        <v>3974</v>
      </c>
      <c r="B471" s="1" t="s">
        <v>2473</v>
      </c>
      <c r="C471" s="1" t="s">
        <v>3314</v>
      </c>
      <c r="D471" s="1">
        <v>2</v>
      </c>
      <c r="E471" s="1">
        <v>3</v>
      </c>
      <c r="F471" s="1" t="s">
        <v>22</v>
      </c>
      <c r="G471" s="1" t="s">
        <v>1218</v>
      </c>
      <c r="H471" s="1" t="s">
        <v>3975</v>
      </c>
      <c r="I471" s="1" t="s">
        <v>2482</v>
      </c>
      <c r="J471" s="1" t="s">
        <v>3976</v>
      </c>
      <c r="K471" s="1" t="s">
        <v>59</v>
      </c>
      <c r="L471" s="1" t="s">
        <v>3317</v>
      </c>
    </row>
    <row r="472" spans="1:12" ht="91.2">
      <c r="A472" s="1" t="s">
        <v>3977</v>
      </c>
      <c r="B472" s="1" t="s">
        <v>2491</v>
      </c>
      <c r="C472" s="1" t="s">
        <v>3310</v>
      </c>
      <c r="D472" s="1">
        <v>1</v>
      </c>
      <c r="E472" s="1"/>
      <c r="F472" s="1" t="s">
        <v>27</v>
      </c>
      <c r="G472" s="1" t="s">
        <v>403</v>
      </c>
      <c r="H472" s="1" t="s">
        <v>2493</v>
      </c>
      <c r="I472" s="1"/>
      <c r="J472" s="1" t="s">
        <v>3978</v>
      </c>
      <c r="K472" s="1" t="s">
        <v>59</v>
      </c>
      <c r="L472" s="1"/>
    </row>
    <row r="473" spans="1:12" ht="91.2">
      <c r="A473" s="1" t="s">
        <v>3979</v>
      </c>
      <c r="B473" s="1" t="s">
        <v>2497</v>
      </c>
      <c r="C473" s="1" t="s">
        <v>3310</v>
      </c>
      <c r="D473" s="1">
        <v>1</v>
      </c>
      <c r="E473" s="1"/>
      <c r="F473" s="1" t="s">
        <v>22</v>
      </c>
      <c r="G473" s="1" t="s">
        <v>614</v>
      </c>
      <c r="H473" s="1" t="s">
        <v>615</v>
      </c>
      <c r="I473" s="1"/>
      <c r="J473" s="1" t="s">
        <v>3980</v>
      </c>
      <c r="K473" s="1" t="s">
        <v>59</v>
      </c>
      <c r="L473" s="1"/>
    </row>
    <row r="474" spans="1:12" ht="91.2">
      <c r="A474" s="1" t="s">
        <v>3981</v>
      </c>
      <c r="B474" s="1" t="s">
        <v>2502</v>
      </c>
      <c r="C474" s="1" t="s">
        <v>3310</v>
      </c>
      <c r="D474" s="1">
        <v>1</v>
      </c>
      <c r="E474" s="1"/>
      <c r="F474" s="1" t="s">
        <v>27</v>
      </c>
      <c r="G474" s="1" t="s">
        <v>403</v>
      </c>
      <c r="H474" s="1" t="s">
        <v>2504</v>
      </c>
      <c r="I474" s="1"/>
      <c r="J474" s="1" t="s">
        <v>3982</v>
      </c>
      <c r="K474" s="1" t="s">
        <v>59</v>
      </c>
      <c r="L474" s="1"/>
    </row>
    <row r="475" spans="1:12" ht="182.4">
      <c r="A475" s="1" t="s">
        <v>3983</v>
      </c>
      <c r="B475" s="1" t="s">
        <v>2508</v>
      </c>
      <c r="C475" s="1" t="s">
        <v>3320</v>
      </c>
      <c r="D475" s="1">
        <v>2</v>
      </c>
      <c r="E475" s="1">
        <v>2</v>
      </c>
      <c r="F475" s="1" t="s">
        <v>22</v>
      </c>
      <c r="G475" s="1" t="s">
        <v>403</v>
      </c>
      <c r="H475" s="1" t="s">
        <v>3984</v>
      </c>
      <c r="I475" s="1" t="s">
        <v>3985</v>
      </c>
      <c r="J475" s="1" t="s">
        <v>3986</v>
      </c>
      <c r="K475" s="1" t="s">
        <v>59</v>
      </c>
      <c r="L475" s="1"/>
    </row>
    <row r="476" spans="1:12" ht="91.2">
      <c r="A476" s="1" t="s">
        <v>3987</v>
      </c>
      <c r="B476" s="1" t="s">
        <v>2525</v>
      </c>
      <c r="C476" s="1" t="s">
        <v>3310</v>
      </c>
      <c r="D476" s="1">
        <v>1</v>
      </c>
      <c r="E476" s="1"/>
      <c r="F476" s="1" t="s">
        <v>22</v>
      </c>
      <c r="G476" s="1" t="s">
        <v>403</v>
      </c>
      <c r="H476" s="1" t="s">
        <v>615</v>
      </c>
      <c r="I476" s="1"/>
      <c r="J476" s="1" t="s">
        <v>3988</v>
      </c>
      <c r="K476" s="1" t="s">
        <v>59</v>
      </c>
      <c r="L476" s="1"/>
    </row>
    <row r="477" spans="1:12" ht="91.2">
      <c r="A477" s="1" t="s">
        <v>3989</v>
      </c>
      <c r="B477" s="1" t="s">
        <v>2530</v>
      </c>
      <c r="C477" s="1" t="s">
        <v>3310</v>
      </c>
      <c r="D477" s="1">
        <v>1</v>
      </c>
      <c r="E477" s="1"/>
      <c r="F477" s="1" t="s">
        <v>22</v>
      </c>
      <c r="G477" s="1" t="s">
        <v>403</v>
      </c>
      <c r="H477" s="1" t="s">
        <v>615</v>
      </c>
      <c r="I477" s="1"/>
      <c r="J477" s="1" t="s">
        <v>3990</v>
      </c>
      <c r="K477" s="1" t="s">
        <v>59</v>
      </c>
      <c r="L477" s="1"/>
    </row>
    <row r="478" spans="1:12" ht="91.2">
      <c r="A478" s="1" t="s">
        <v>3991</v>
      </c>
      <c r="B478" s="1" t="s">
        <v>2534</v>
      </c>
      <c r="C478" s="1" t="s">
        <v>3310</v>
      </c>
      <c r="D478" s="1">
        <v>1</v>
      </c>
      <c r="E478" s="1"/>
      <c r="F478" s="1" t="s">
        <v>29</v>
      </c>
      <c r="G478" s="1" t="s">
        <v>403</v>
      </c>
      <c r="H478" s="1" t="s">
        <v>2536</v>
      </c>
      <c r="I478" s="1"/>
      <c r="J478" s="1" t="s">
        <v>3992</v>
      </c>
      <c r="K478" s="1" t="s">
        <v>59</v>
      </c>
      <c r="L478" s="1"/>
    </row>
    <row r="479" spans="1:12" ht="91.2">
      <c r="A479" s="1" t="s">
        <v>3993</v>
      </c>
      <c r="B479" s="1" t="s">
        <v>2539</v>
      </c>
      <c r="C479" s="1" t="s">
        <v>3310</v>
      </c>
      <c r="D479" s="1">
        <v>1</v>
      </c>
      <c r="E479" s="1"/>
      <c r="F479" s="1" t="s">
        <v>27</v>
      </c>
      <c r="G479" s="1" t="s">
        <v>403</v>
      </c>
      <c r="H479" s="1" t="s">
        <v>2541</v>
      </c>
      <c r="I479" s="1"/>
      <c r="J479" s="1" t="s">
        <v>3994</v>
      </c>
      <c r="K479" s="1" t="s">
        <v>59</v>
      </c>
      <c r="L479" s="1"/>
    </row>
    <row r="480" spans="1:12" ht="91.2">
      <c r="A480" s="1" t="s">
        <v>3995</v>
      </c>
      <c r="B480" s="1" t="s">
        <v>2544</v>
      </c>
      <c r="C480" s="1" t="s">
        <v>3310</v>
      </c>
      <c r="D480" s="1">
        <v>1</v>
      </c>
      <c r="E480" s="1"/>
      <c r="F480" s="1" t="s">
        <v>22</v>
      </c>
      <c r="G480" s="1" t="s">
        <v>1295</v>
      </c>
      <c r="H480" s="1" t="s">
        <v>2546</v>
      </c>
      <c r="I480" s="1" t="s">
        <v>2547</v>
      </c>
      <c r="J480" s="1" t="s">
        <v>3996</v>
      </c>
      <c r="K480" s="1" t="s">
        <v>59</v>
      </c>
      <c r="L480" s="1"/>
    </row>
    <row r="481" spans="1:12" ht="91.2">
      <c r="A481" s="1" t="s">
        <v>3997</v>
      </c>
      <c r="B481" s="1" t="s">
        <v>2563</v>
      </c>
      <c r="C481" s="1" t="s">
        <v>3310</v>
      </c>
      <c r="D481" s="1">
        <v>1</v>
      </c>
      <c r="E481" s="1"/>
      <c r="F481" s="1" t="s">
        <v>27</v>
      </c>
      <c r="G481" s="1" t="s">
        <v>1295</v>
      </c>
      <c r="H481" s="1" t="s">
        <v>615</v>
      </c>
      <c r="I481" s="1"/>
      <c r="J481" s="1" t="s">
        <v>3998</v>
      </c>
      <c r="K481" s="1" t="s">
        <v>59</v>
      </c>
      <c r="L481" s="1"/>
    </row>
    <row r="482" spans="1:12" ht="91.2">
      <c r="A482" s="1" t="s">
        <v>3999</v>
      </c>
      <c r="B482" s="1" t="s">
        <v>2575</v>
      </c>
      <c r="C482" s="1" t="s">
        <v>3310</v>
      </c>
      <c r="D482" s="1">
        <v>1</v>
      </c>
      <c r="E482" s="1"/>
      <c r="F482" s="1" t="s">
        <v>22</v>
      </c>
      <c r="G482" s="1" t="s">
        <v>1218</v>
      </c>
      <c r="H482" s="1" t="s">
        <v>2577</v>
      </c>
      <c r="I482" s="1"/>
      <c r="J482" s="1" t="s">
        <v>4000</v>
      </c>
      <c r="K482" s="1" t="s">
        <v>59</v>
      </c>
      <c r="L482" s="1"/>
    </row>
    <row r="483" spans="1:12" ht="91.2">
      <c r="A483" s="1" t="s">
        <v>4001</v>
      </c>
      <c r="B483" s="1" t="s">
        <v>2580</v>
      </c>
      <c r="C483" s="1" t="s">
        <v>3310</v>
      </c>
      <c r="D483" s="1">
        <v>1</v>
      </c>
      <c r="E483" s="1"/>
      <c r="F483" s="1" t="s">
        <v>22</v>
      </c>
      <c r="G483" s="1" t="s">
        <v>403</v>
      </c>
      <c r="H483" s="1" t="s">
        <v>2582</v>
      </c>
      <c r="I483" s="1"/>
      <c r="J483" s="1" t="s">
        <v>4002</v>
      </c>
      <c r="K483" s="1" t="s">
        <v>59</v>
      </c>
      <c r="L483" s="1"/>
    </row>
    <row r="484" spans="1:12" ht="91.2">
      <c r="A484" s="1" t="s">
        <v>4003</v>
      </c>
      <c r="B484" s="1" t="s">
        <v>2585</v>
      </c>
      <c r="C484" s="1" t="s">
        <v>3310</v>
      </c>
      <c r="D484" s="1">
        <v>1</v>
      </c>
      <c r="E484" s="1"/>
      <c r="F484" s="1" t="s">
        <v>22</v>
      </c>
      <c r="G484" s="1" t="s">
        <v>1295</v>
      </c>
      <c r="H484" s="1" t="s">
        <v>2587</v>
      </c>
      <c r="I484" s="1"/>
      <c r="J484" s="1" t="s">
        <v>4004</v>
      </c>
      <c r="K484" s="1" t="s">
        <v>59</v>
      </c>
      <c r="L484" s="1"/>
    </row>
    <row r="485" spans="1:12" ht="91.2">
      <c r="A485" s="1" t="s">
        <v>4005</v>
      </c>
      <c r="B485" s="1" t="s">
        <v>2616</v>
      </c>
      <c r="C485" s="1" t="s">
        <v>3310</v>
      </c>
      <c r="D485" s="1">
        <v>1</v>
      </c>
      <c r="E485" s="1"/>
      <c r="F485" s="1" t="s">
        <v>22</v>
      </c>
      <c r="G485" s="1" t="s">
        <v>251</v>
      </c>
      <c r="H485" s="1" t="s">
        <v>2618</v>
      </c>
      <c r="I485" s="1"/>
      <c r="J485" s="1" t="s">
        <v>4006</v>
      </c>
      <c r="K485" s="1" t="s">
        <v>59</v>
      </c>
      <c r="L485" s="1"/>
    </row>
    <row r="486" spans="1:12" ht="91.2">
      <c r="A486" s="1" t="s">
        <v>4007</v>
      </c>
      <c r="B486" s="1" t="s">
        <v>2622</v>
      </c>
      <c r="C486" s="1" t="s">
        <v>3310</v>
      </c>
      <c r="D486" s="1">
        <v>1</v>
      </c>
      <c r="E486" s="1"/>
      <c r="F486" s="1" t="s">
        <v>22</v>
      </c>
      <c r="G486" s="1" t="s">
        <v>1295</v>
      </c>
      <c r="H486" s="1" t="s">
        <v>2624</v>
      </c>
      <c r="I486" s="1"/>
      <c r="J486" s="1" t="s">
        <v>4008</v>
      </c>
      <c r="K486" s="1" t="s">
        <v>59</v>
      </c>
      <c r="L486" s="1"/>
    </row>
    <row r="487" spans="1:12" ht="91.2">
      <c r="A487" s="1" t="s">
        <v>4009</v>
      </c>
      <c r="B487" s="1" t="s">
        <v>2631</v>
      </c>
      <c r="C487" s="1" t="s">
        <v>3310</v>
      </c>
      <c r="D487" s="1">
        <v>1</v>
      </c>
      <c r="E487" s="1"/>
      <c r="F487" s="1" t="s">
        <v>27</v>
      </c>
      <c r="G487" s="1" t="s">
        <v>403</v>
      </c>
      <c r="H487" s="1" t="s">
        <v>2633</v>
      </c>
      <c r="I487" s="1"/>
      <c r="J487" s="1" t="s">
        <v>4010</v>
      </c>
      <c r="K487" s="1" t="s">
        <v>59</v>
      </c>
      <c r="L487" s="1"/>
    </row>
    <row r="488" spans="1:12" ht="91.2">
      <c r="A488" s="1" t="s">
        <v>4011</v>
      </c>
      <c r="B488" s="1" t="s">
        <v>2636</v>
      </c>
      <c r="C488" s="1" t="s">
        <v>3310</v>
      </c>
      <c r="D488" s="1">
        <v>1</v>
      </c>
      <c r="E488" s="1"/>
      <c r="F488" s="1" t="s">
        <v>22</v>
      </c>
      <c r="G488" s="1" t="s">
        <v>403</v>
      </c>
      <c r="H488" s="1" t="s">
        <v>2638</v>
      </c>
      <c r="I488" s="1"/>
      <c r="J488" s="1" t="s">
        <v>4012</v>
      </c>
      <c r="K488" s="1" t="s">
        <v>59</v>
      </c>
      <c r="L488" s="1"/>
    </row>
    <row r="489" spans="1:12" ht="91.2">
      <c r="A489" s="1" t="s">
        <v>4013</v>
      </c>
      <c r="B489" s="1" t="s">
        <v>2677</v>
      </c>
      <c r="C489" s="1" t="s">
        <v>3310</v>
      </c>
      <c r="D489" s="1">
        <v>1</v>
      </c>
      <c r="E489" s="1"/>
      <c r="F489" s="1" t="s">
        <v>22</v>
      </c>
      <c r="G489" s="1" t="s">
        <v>251</v>
      </c>
      <c r="H489" s="1" t="s">
        <v>2679</v>
      </c>
      <c r="I489" s="1"/>
      <c r="J489" s="1" t="s">
        <v>4014</v>
      </c>
      <c r="K489" s="1" t="s">
        <v>59</v>
      </c>
      <c r="L489" s="1"/>
    </row>
    <row r="490" spans="1:12" ht="91.2">
      <c r="A490" s="1" t="s">
        <v>4015</v>
      </c>
      <c r="B490" s="1" t="s">
        <v>2682</v>
      </c>
      <c r="C490" s="1" t="s">
        <v>3310</v>
      </c>
      <c r="D490" s="1">
        <v>1</v>
      </c>
      <c r="E490" s="1"/>
      <c r="F490" s="1" t="s">
        <v>22</v>
      </c>
      <c r="G490" s="1" t="s">
        <v>251</v>
      </c>
      <c r="H490" s="1" t="s">
        <v>2684</v>
      </c>
      <c r="I490" s="1"/>
      <c r="J490" s="1" t="s">
        <v>4016</v>
      </c>
      <c r="K490" s="1" t="s">
        <v>59</v>
      </c>
      <c r="L490" s="1"/>
    </row>
    <row r="491" spans="1:12" ht="91.2">
      <c r="A491" s="1" t="s">
        <v>4017</v>
      </c>
      <c r="B491" s="1" t="s">
        <v>2690</v>
      </c>
      <c r="C491" s="1" t="s">
        <v>3310</v>
      </c>
      <c r="D491" s="1">
        <v>1</v>
      </c>
      <c r="E491" s="1"/>
      <c r="F491" s="1" t="s">
        <v>29</v>
      </c>
      <c r="G491" s="1" t="s">
        <v>251</v>
      </c>
      <c r="H491" s="1" t="s">
        <v>2692</v>
      </c>
      <c r="I491" s="1"/>
      <c r="J491" s="1" t="s">
        <v>4018</v>
      </c>
      <c r="K491" s="1" t="s">
        <v>59</v>
      </c>
      <c r="L491" s="1"/>
    </row>
    <row r="492" spans="1:12" ht="91.2">
      <c r="A492" s="1" t="s">
        <v>4019</v>
      </c>
      <c r="B492" s="1" t="s">
        <v>2700</v>
      </c>
      <c r="C492" s="1" t="s">
        <v>3310</v>
      </c>
      <c r="D492" s="1">
        <v>1</v>
      </c>
      <c r="E492" s="1"/>
      <c r="F492" s="1" t="s">
        <v>29</v>
      </c>
      <c r="G492" s="1" t="s">
        <v>251</v>
      </c>
      <c r="H492" s="1"/>
      <c r="I492" s="1"/>
      <c r="J492" s="1" t="s">
        <v>4020</v>
      </c>
      <c r="K492" s="1" t="s">
        <v>59</v>
      </c>
      <c r="L492" s="1"/>
    </row>
    <row r="493" spans="1:12" ht="91.2">
      <c r="A493" s="1" t="s">
        <v>4021</v>
      </c>
      <c r="B493" s="1" t="s">
        <v>2704</v>
      </c>
      <c r="C493" s="1" t="s">
        <v>3310</v>
      </c>
      <c r="D493" s="1">
        <v>1</v>
      </c>
      <c r="E493" s="1"/>
      <c r="F493" s="1" t="s">
        <v>22</v>
      </c>
      <c r="G493" s="1" t="s">
        <v>1218</v>
      </c>
      <c r="H493" s="1" t="s">
        <v>2706</v>
      </c>
      <c r="I493" s="1"/>
      <c r="J493" s="1" t="s">
        <v>4022</v>
      </c>
      <c r="K493" s="1" t="s">
        <v>59</v>
      </c>
      <c r="L493" s="1"/>
    </row>
    <row r="494" spans="1:12" ht="91.2">
      <c r="A494" s="1" t="s">
        <v>4023</v>
      </c>
      <c r="B494" s="1" t="s">
        <v>2709</v>
      </c>
      <c r="C494" s="1" t="s">
        <v>3310</v>
      </c>
      <c r="D494" s="1">
        <v>1</v>
      </c>
      <c r="E494" s="1"/>
      <c r="F494" s="1" t="s">
        <v>22</v>
      </c>
      <c r="G494" s="1" t="s">
        <v>403</v>
      </c>
      <c r="H494" s="1" t="s">
        <v>2711</v>
      </c>
      <c r="I494" s="1"/>
      <c r="J494" s="1" t="s">
        <v>4024</v>
      </c>
      <c r="K494" s="1" t="s">
        <v>59</v>
      </c>
      <c r="L494" s="1"/>
    </row>
    <row r="495" spans="1:12" ht="91.2">
      <c r="A495" s="1" t="s">
        <v>4025</v>
      </c>
      <c r="B495" s="1" t="s">
        <v>2714</v>
      </c>
      <c r="C495" s="1" t="s">
        <v>3310</v>
      </c>
      <c r="D495" s="1">
        <v>1</v>
      </c>
      <c r="E495" s="1"/>
      <c r="F495" s="1" t="s">
        <v>22</v>
      </c>
      <c r="G495" s="1" t="s">
        <v>1218</v>
      </c>
      <c r="H495" s="1" t="s">
        <v>2716</v>
      </c>
      <c r="I495" s="1" t="s">
        <v>2717</v>
      </c>
      <c r="J495" s="1" t="s">
        <v>4026</v>
      </c>
      <c r="K495" s="1" t="s">
        <v>59</v>
      </c>
      <c r="L495" s="1"/>
    </row>
    <row r="496" spans="1:12" ht="91.2">
      <c r="A496" s="1" t="s">
        <v>4027</v>
      </c>
      <c r="B496" s="1" t="s">
        <v>2720</v>
      </c>
      <c r="C496" s="1" t="s">
        <v>3310</v>
      </c>
      <c r="D496" s="1">
        <v>1</v>
      </c>
      <c r="E496" s="1"/>
      <c r="F496" s="1" t="s">
        <v>22</v>
      </c>
      <c r="G496" s="1" t="s">
        <v>403</v>
      </c>
      <c r="H496" s="1" t="s">
        <v>2722</v>
      </c>
      <c r="I496" s="1"/>
      <c r="J496" s="1" t="s">
        <v>4028</v>
      </c>
      <c r="K496" s="1" t="s">
        <v>59</v>
      </c>
      <c r="L496" s="1"/>
    </row>
    <row r="497" spans="1:12" ht="91.2">
      <c r="A497" s="1" t="s">
        <v>4029</v>
      </c>
      <c r="B497" s="1" t="s">
        <v>2725</v>
      </c>
      <c r="C497" s="1" t="s">
        <v>3310</v>
      </c>
      <c r="D497" s="1">
        <v>1</v>
      </c>
      <c r="E497" s="1"/>
      <c r="F497" s="1" t="s">
        <v>22</v>
      </c>
      <c r="G497" s="1" t="s">
        <v>403</v>
      </c>
      <c r="H497" s="1" t="s">
        <v>2727</v>
      </c>
      <c r="I497" s="1"/>
      <c r="J497" s="1" t="s">
        <v>4030</v>
      </c>
      <c r="K497" s="1" t="s">
        <v>59</v>
      </c>
      <c r="L497" s="1"/>
    </row>
    <row r="498" spans="1:12" ht="91.2">
      <c r="A498" s="1" t="s">
        <v>4031</v>
      </c>
      <c r="B498" s="1" t="s">
        <v>2730</v>
      </c>
      <c r="C498" s="1" t="s">
        <v>3310</v>
      </c>
      <c r="D498" s="1">
        <v>1</v>
      </c>
      <c r="E498" s="1"/>
      <c r="F498" s="1" t="s">
        <v>22</v>
      </c>
      <c r="G498" s="1" t="s">
        <v>403</v>
      </c>
      <c r="H498" s="1" t="s">
        <v>2732</v>
      </c>
      <c r="I498" s="1"/>
      <c r="J498" s="1" t="s">
        <v>4032</v>
      </c>
      <c r="K498" s="1" t="s">
        <v>59</v>
      </c>
      <c r="L498" s="1"/>
    </row>
    <row r="499" spans="1:12" ht="91.2">
      <c r="A499" s="1" t="s">
        <v>4033</v>
      </c>
      <c r="B499" s="1" t="s">
        <v>2736</v>
      </c>
      <c r="C499" s="1" t="s">
        <v>3310</v>
      </c>
      <c r="D499" s="1">
        <v>1</v>
      </c>
      <c r="E499" s="1"/>
      <c r="F499" s="1" t="s">
        <v>22</v>
      </c>
      <c r="G499" s="1" t="s">
        <v>403</v>
      </c>
      <c r="H499" s="1" t="s">
        <v>2738</v>
      </c>
      <c r="I499" s="1"/>
      <c r="J499" s="1" t="s">
        <v>4034</v>
      </c>
      <c r="K499" s="1" t="s">
        <v>59</v>
      </c>
      <c r="L499" s="1"/>
    </row>
    <row r="500" spans="1:12" ht="91.2">
      <c r="A500" s="1" t="s">
        <v>4035</v>
      </c>
      <c r="B500" s="1" t="s">
        <v>645</v>
      </c>
      <c r="C500" s="1" t="s">
        <v>3310</v>
      </c>
      <c r="D500" s="1">
        <v>1</v>
      </c>
      <c r="E500" s="1"/>
      <c r="F500" s="1" t="s">
        <v>22</v>
      </c>
      <c r="G500" s="1" t="s">
        <v>1218</v>
      </c>
      <c r="H500" s="1" t="s">
        <v>2742</v>
      </c>
      <c r="I500" s="1"/>
      <c r="J500" s="1" t="s">
        <v>4036</v>
      </c>
      <c r="K500" s="1" t="s">
        <v>59</v>
      </c>
      <c r="L500" s="1"/>
    </row>
    <row r="501" spans="1:12" ht="91.2">
      <c r="A501" s="1" t="s">
        <v>4037</v>
      </c>
      <c r="B501" s="1" t="s">
        <v>2745</v>
      </c>
      <c r="C501" s="1" t="s">
        <v>3310</v>
      </c>
      <c r="D501" s="1">
        <v>1</v>
      </c>
      <c r="E501" s="1"/>
      <c r="F501" s="1" t="s">
        <v>27</v>
      </c>
      <c r="G501" s="1" t="s">
        <v>614</v>
      </c>
      <c r="H501" s="1" t="s">
        <v>2747</v>
      </c>
      <c r="I501" s="1"/>
      <c r="J501" s="1" t="s">
        <v>4038</v>
      </c>
      <c r="K501" s="1" t="s">
        <v>59</v>
      </c>
      <c r="L501" s="1"/>
    </row>
    <row r="502" spans="1:12" ht="91.2">
      <c r="A502" s="1" t="s">
        <v>4039</v>
      </c>
      <c r="B502" s="1" t="s">
        <v>2750</v>
      </c>
      <c r="C502" s="1" t="s">
        <v>3310</v>
      </c>
      <c r="D502" s="1">
        <v>1</v>
      </c>
      <c r="E502" s="1"/>
      <c r="F502" s="1" t="s">
        <v>22</v>
      </c>
      <c r="G502" s="1" t="s">
        <v>1218</v>
      </c>
      <c r="H502" s="1" t="s">
        <v>2752</v>
      </c>
      <c r="I502" s="1"/>
      <c r="J502" s="1" t="s">
        <v>4040</v>
      </c>
      <c r="K502" s="1" t="s">
        <v>59</v>
      </c>
      <c r="L502" s="1"/>
    </row>
    <row r="503" spans="1:12" ht="91.2">
      <c r="A503" s="1" t="s">
        <v>4041</v>
      </c>
      <c r="B503" s="1" t="s">
        <v>2755</v>
      </c>
      <c r="C503" s="1" t="s">
        <v>3310</v>
      </c>
      <c r="D503" s="1">
        <v>1</v>
      </c>
      <c r="E503" s="1"/>
      <c r="F503" s="1" t="s">
        <v>27</v>
      </c>
      <c r="G503" s="1" t="s">
        <v>1218</v>
      </c>
      <c r="H503" s="1" t="s">
        <v>2757</v>
      </c>
      <c r="I503" s="1"/>
      <c r="J503" s="1" t="s">
        <v>4042</v>
      </c>
      <c r="K503" s="1" t="s">
        <v>59</v>
      </c>
      <c r="L503" s="1"/>
    </row>
    <row r="504" spans="1:12" ht="193.8">
      <c r="A504" s="1" t="s">
        <v>4043</v>
      </c>
      <c r="B504" s="1" t="s">
        <v>2767</v>
      </c>
      <c r="C504" s="1" t="s">
        <v>3314</v>
      </c>
      <c r="D504" s="1">
        <v>3</v>
      </c>
      <c r="E504" s="1"/>
      <c r="F504" s="1" t="s">
        <v>22</v>
      </c>
      <c r="G504" s="1" t="s">
        <v>3768</v>
      </c>
      <c r="H504" s="1" t="s">
        <v>4044</v>
      </c>
      <c r="I504" s="1" t="s">
        <v>2783</v>
      </c>
      <c r="J504" s="1" t="s">
        <v>4045</v>
      </c>
      <c r="K504" s="1" t="s">
        <v>59</v>
      </c>
      <c r="L504" s="1" t="s">
        <v>3317</v>
      </c>
    </row>
    <row r="505" spans="1:12" ht="91.2">
      <c r="A505" s="1" t="s">
        <v>4046</v>
      </c>
      <c r="B505" s="1" t="s">
        <v>27</v>
      </c>
      <c r="C505" s="1" t="s">
        <v>3310</v>
      </c>
      <c r="D505" s="1">
        <v>1</v>
      </c>
      <c r="E505" s="1"/>
      <c r="F505" s="1" t="s">
        <v>22</v>
      </c>
      <c r="G505" s="1" t="s">
        <v>614</v>
      </c>
      <c r="H505" s="1" t="s">
        <v>2797</v>
      </c>
      <c r="I505" s="1"/>
      <c r="J505" s="1" t="s">
        <v>4047</v>
      </c>
      <c r="K505" s="1" t="s">
        <v>59</v>
      </c>
      <c r="L505" s="1"/>
    </row>
    <row r="506" spans="1:12" ht="91.2">
      <c r="A506" s="1" t="s">
        <v>4048</v>
      </c>
      <c r="B506" s="1" t="s">
        <v>2810</v>
      </c>
      <c r="C506" s="1" t="s">
        <v>3310</v>
      </c>
      <c r="D506" s="1">
        <v>1</v>
      </c>
      <c r="E506" s="1"/>
      <c r="F506" s="1" t="s">
        <v>27</v>
      </c>
      <c r="G506" s="1" t="s">
        <v>614</v>
      </c>
      <c r="H506" s="1" t="s">
        <v>2812</v>
      </c>
      <c r="I506" s="1"/>
      <c r="J506" s="1" t="s">
        <v>4049</v>
      </c>
      <c r="K506" s="1" t="s">
        <v>59</v>
      </c>
      <c r="L506" s="1"/>
    </row>
    <row r="507" spans="1:12" ht="91.2">
      <c r="A507" s="1" t="s">
        <v>4050</v>
      </c>
      <c r="B507" s="1" t="s">
        <v>2819</v>
      </c>
      <c r="C507" s="1" t="s">
        <v>3310</v>
      </c>
      <c r="D507" s="1">
        <v>1</v>
      </c>
      <c r="E507" s="1"/>
      <c r="F507" s="1" t="s">
        <v>29</v>
      </c>
      <c r="G507" s="1" t="s">
        <v>403</v>
      </c>
      <c r="H507" s="1" t="s">
        <v>615</v>
      </c>
      <c r="I507" s="1"/>
      <c r="J507" s="1" t="s">
        <v>4051</v>
      </c>
      <c r="K507" s="1" t="s">
        <v>59</v>
      </c>
      <c r="L507" s="1"/>
    </row>
    <row r="508" spans="1:12" ht="91.2">
      <c r="A508" s="1" t="s">
        <v>4052</v>
      </c>
      <c r="B508" s="1" t="s">
        <v>2823</v>
      </c>
      <c r="C508" s="1" t="s">
        <v>3310</v>
      </c>
      <c r="D508" s="1">
        <v>1</v>
      </c>
      <c r="E508" s="1"/>
      <c r="F508" s="1" t="s">
        <v>22</v>
      </c>
      <c r="G508" s="1" t="s">
        <v>1218</v>
      </c>
      <c r="H508" s="1"/>
      <c r="I508" s="1"/>
      <c r="J508" s="1" t="s">
        <v>4053</v>
      </c>
      <c r="K508" s="1" t="s">
        <v>59</v>
      </c>
      <c r="L508" s="1"/>
    </row>
    <row r="509" spans="1:12" ht="91.2">
      <c r="A509" s="1" t="s">
        <v>4054</v>
      </c>
      <c r="B509" s="1" t="s">
        <v>2832</v>
      </c>
      <c r="C509" s="1" t="s">
        <v>3310</v>
      </c>
      <c r="D509" s="1">
        <v>1</v>
      </c>
      <c r="E509" s="1"/>
      <c r="F509" s="1" t="s">
        <v>22</v>
      </c>
      <c r="G509" s="1" t="s">
        <v>1218</v>
      </c>
      <c r="H509" s="1" t="s">
        <v>2834</v>
      </c>
      <c r="I509" s="1"/>
      <c r="J509" s="1" t="s">
        <v>4055</v>
      </c>
      <c r="K509" s="1" t="s">
        <v>59</v>
      </c>
      <c r="L509" s="1"/>
    </row>
    <row r="510" spans="1:12" ht="91.2">
      <c r="A510" s="1" t="s">
        <v>4056</v>
      </c>
      <c r="B510" s="1" t="s">
        <v>2832</v>
      </c>
      <c r="C510" s="1" t="s">
        <v>3310</v>
      </c>
      <c r="D510" s="1">
        <v>1</v>
      </c>
      <c r="E510" s="1"/>
      <c r="F510" s="1" t="s">
        <v>22</v>
      </c>
      <c r="G510" s="1" t="s">
        <v>403</v>
      </c>
      <c r="H510" s="1" t="s">
        <v>2838</v>
      </c>
      <c r="I510" s="1"/>
      <c r="J510" s="1" t="s">
        <v>4057</v>
      </c>
      <c r="K510" s="1" t="s">
        <v>59</v>
      </c>
      <c r="L510" s="1"/>
    </row>
    <row r="511" spans="1:12" ht="91.2">
      <c r="A511" s="1" t="s">
        <v>4058</v>
      </c>
      <c r="B511" s="1" t="s">
        <v>2841</v>
      </c>
      <c r="C511" s="1" t="s">
        <v>3310</v>
      </c>
      <c r="D511" s="1">
        <v>1</v>
      </c>
      <c r="E511" s="1"/>
      <c r="F511" s="1" t="s">
        <v>22</v>
      </c>
      <c r="G511" s="1" t="s">
        <v>251</v>
      </c>
      <c r="H511" s="1" t="s">
        <v>2843</v>
      </c>
      <c r="I511" s="1" t="s">
        <v>2844</v>
      </c>
      <c r="J511" s="1" t="s">
        <v>4059</v>
      </c>
      <c r="K511" s="1" t="s">
        <v>59</v>
      </c>
      <c r="L511" s="1"/>
    </row>
    <row r="512" spans="1:12" ht="91.2">
      <c r="A512" s="1" t="s">
        <v>4060</v>
      </c>
      <c r="B512" s="1" t="s">
        <v>2847</v>
      </c>
      <c r="C512" s="1" t="s">
        <v>3310</v>
      </c>
      <c r="D512" s="1">
        <v>1</v>
      </c>
      <c r="E512" s="1"/>
      <c r="F512" s="1" t="s">
        <v>27</v>
      </c>
      <c r="G512" s="1" t="s">
        <v>1295</v>
      </c>
      <c r="H512" s="1" t="s">
        <v>2849</v>
      </c>
      <c r="I512" s="1"/>
      <c r="J512" s="1" t="s">
        <v>4061</v>
      </c>
      <c r="K512" s="1" t="s">
        <v>59</v>
      </c>
      <c r="L512" s="1"/>
    </row>
    <row r="513" spans="1:12" ht="91.2">
      <c r="A513" s="1" t="s">
        <v>4062</v>
      </c>
      <c r="B513" s="1" t="s">
        <v>2852</v>
      </c>
      <c r="C513" s="1" t="s">
        <v>3310</v>
      </c>
      <c r="D513" s="1">
        <v>1</v>
      </c>
      <c r="E513" s="1"/>
      <c r="F513" s="1" t="s">
        <v>22</v>
      </c>
      <c r="G513" s="1" t="s">
        <v>614</v>
      </c>
      <c r="H513" s="1" t="s">
        <v>2854</v>
      </c>
      <c r="I513" s="1"/>
      <c r="J513" s="1" t="s">
        <v>4063</v>
      </c>
      <c r="K513" s="1" t="s">
        <v>59</v>
      </c>
      <c r="L513" s="1"/>
    </row>
    <row r="514" spans="1:12" ht="91.2">
      <c r="A514" s="1" t="s">
        <v>4064</v>
      </c>
      <c r="B514" s="1" t="s">
        <v>2857</v>
      </c>
      <c r="C514" s="1" t="s">
        <v>3310</v>
      </c>
      <c r="D514" s="1">
        <v>1</v>
      </c>
      <c r="E514" s="1"/>
      <c r="F514" s="1" t="s">
        <v>22</v>
      </c>
      <c r="G514" s="1" t="s">
        <v>614</v>
      </c>
      <c r="H514" s="1" t="s">
        <v>615</v>
      </c>
      <c r="I514" s="1"/>
      <c r="J514" s="1" t="s">
        <v>4065</v>
      </c>
      <c r="K514" s="1" t="s">
        <v>59</v>
      </c>
      <c r="L514" s="1"/>
    </row>
    <row r="515" spans="1:12" ht="91.2">
      <c r="A515" s="1" t="s">
        <v>4066</v>
      </c>
      <c r="B515" s="1" t="s">
        <v>2861</v>
      </c>
      <c r="C515" s="1" t="s">
        <v>3310</v>
      </c>
      <c r="D515" s="1">
        <v>1</v>
      </c>
      <c r="E515" s="1"/>
      <c r="F515" s="1" t="s">
        <v>22</v>
      </c>
      <c r="G515" s="1" t="s">
        <v>1295</v>
      </c>
      <c r="H515" s="1" t="s">
        <v>2863</v>
      </c>
      <c r="I515" s="1" t="s">
        <v>2864</v>
      </c>
      <c r="J515" s="1" t="s">
        <v>4067</v>
      </c>
      <c r="K515" s="1" t="s">
        <v>59</v>
      </c>
      <c r="L515" s="1"/>
    </row>
    <row r="516" spans="1:12" ht="91.2">
      <c r="A516" s="1" t="s">
        <v>4068</v>
      </c>
      <c r="B516" s="1" t="s">
        <v>2867</v>
      </c>
      <c r="C516" s="1" t="s">
        <v>3310</v>
      </c>
      <c r="D516" s="1">
        <v>1</v>
      </c>
      <c r="E516" s="1"/>
      <c r="F516" s="1" t="s">
        <v>27</v>
      </c>
      <c r="G516" s="1" t="s">
        <v>1218</v>
      </c>
      <c r="H516" s="1" t="s">
        <v>2869</v>
      </c>
      <c r="I516" s="1"/>
      <c r="J516" s="1" t="s">
        <v>4069</v>
      </c>
      <c r="K516" s="1" t="s">
        <v>59</v>
      </c>
      <c r="L516" s="1"/>
    </row>
    <row r="517" spans="1:12" ht="91.2">
      <c r="A517" s="1" t="s">
        <v>4070</v>
      </c>
      <c r="B517" s="1" t="s">
        <v>2872</v>
      </c>
      <c r="C517" s="1" t="s">
        <v>3310</v>
      </c>
      <c r="D517" s="1">
        <v>1</v>
      </c>
      <c r="E517" s="1"/>
      <c r="F517" s="1" t="s">
        <v>22</v>
      </c>
      <c r="G517" s="1" t="s">
        <v>1218</v>
      </c>
      <c r="H517" s="1" t="s">
        <v>2874</v>
      </c>
      <c r="I517" s="1" t="s">
        <v>2875</v>
      </c>
      <c r="J517" s="1" t="s">
        <v>4071</v>
      </c>
      <c r="K517" s="1" t="s">
        <v>59</v>
      </c>
      <c r="L517" s="1"/>
    </row>
    <row r="518" spans="1:12" ht="91.2">
      <c r="A518" s="1" t="s">
        <v>4072</v>
      </c>
      <c r="B518" s="1" t="s">
        <v>2878</v>
      </c>
      <c r="C518" s="1" t="s">
        <v>3310</v>
      </c>
      <c r="D518" s="1">
        <v>1</v>
      </c>
      <c r="E518" s="1"/>
      <c r="F518" s="1" t="s">
        <v>27</v>
      </c>
      <c r="G518" s="1" t="s">
        <v>403</v>
      </c>
      <c r="H518" s="1" t="s">
        <v>2880</v>
      </c>
      <c r="I518" s="1" t="s">
        <v>2881</v>
      </c>
      <c r="J518" s="1" t="s">
        <v>4073</v>
      </c>
      <c r="K518" s="1" t="s">
        <v>59</v>
      </c>
      <c r="L518" s="1"/>
    </row>
    <row r="519" spans="1:12" ht="91.2">
      <c r="A519" s="1" t="s">
        <v>4074</v>
      </c>
      <c r="B519" s="1" t="s">
        <v>2884</v>
      </c>
      <c r="C519" s="1" t="s">
        <v>3310</v>
      </c>
      <c r="D519" s="1">
        <v>1</v>
      </c>
      <c r="E519" s="1"/>
      <c r="F519" s="1" t="s">
        <v>22</v>
      </c>
      <c r="G519" s="1" t="s">
        <v>1295</v>
      </c>
      <c r="H519" s="1" t="s">
        <v>2886</v>
      </c>
      <c r="I519" s="1"/>
      <c r="J519" s="1" t="s">
        <v>4075</v>
      </c>
      <c r="K519" s="1" t="s">
        <v>59</v>
      </c>
      <c r="L519" s="1"/>
    </row>
    <row r="520" spans="1:12" ht="91.2">
      <c r="A520" s="1" t="s">
        <v>4076</v>
      </c>
      <c r="B520" s="1" t="s">
        <v>2889</v>
      </c>
      <c r="C520" s="1" t="s">
        <v>3310</v>
      </c>
      <c r="D520" s="1">
        <v>1</v>
      </c>
      <c r="E520" s="1"/>
      <c r="F520" s="1" t="s">
        <v>22</v>
      </c>
      <c r="G520" s="1" t="s">
        <v>1218</v>
      </c>
      <c r="H520" s="1" t="s">
        <v>2891</v>
      </c>
      <c r="I520" s="1"/>
      <c r="J520" s="1" t="s">
        <v>4077</v>
      </c>
      <c r="K520" s="1" t="s">
        <v>59</v>
      </c>
      <c r="L520" s="1"/>
    </row>
    <row r="521" spans="1:12" ht="91.2">
      <c r="A521" s="1" t="s">
        <v>4078</v>
      </c>
      <c r="B521" s="1" t="s">
        <v>2894</v>
      </c>
      <c r="C521" s="1" t="s">
        <v>3310</v>
      </c>
      <c r="D521" s="1">
        <v>1</v>
      </c>
      <c r="E521" s="1"/>
      <c r="F521" s="1" t="s">
        <v>22</v>
      </c>
      <c r="G521" s="1" t="s">
        <v>403</v>
      </c>
      <c r="H521" s="1" t="s">
        <v>2896</v>
      </c>
      <c r="I521" s="1" t="s">
        <v>2897</v>
      </c>
      <c r="J521" s="1" t="s">
        <v>4079</v>
      </c>
      <c r="K521" s="1" t="s">
        <v>59</v>
      </c>
      <c r="L521" s="1"/>
    </row>
    <row r="522" spans="1:12" ht="91.2">
      <c r="A522" s="1" t="s">
        <v>4080</v>
      </c>
      <c r="B522" s="1" t="s">
        <v>2900</v>
      </c>
      <c r="C522" s="1" t="s">
        <v>3310</v>
      </c>
      <c r="D522" s="1">
        <v>1</v>
      </c>
      <c r="E522" s="1"/>
      <c r="F522" s="1" t="s">
        <v>22</v>
      </c>
      <c r="G522" s="1" t="s">
        <v>403</v>
      </c>
      <c r="H522" s="1" t="s">
        <v>615</v>
      </c>
      <c r="I522" s="1"/>
      <c r="J522" s="1" t="s">
        <v>4081</v>
      </c>
      <c r="K522" s="1" t="s">
        <v>59</v>
      </c>
      <c r="L522" s="1"/>
    </row>
    <row r="523" spans="1:12" ht="91.2">
      <c r="A523" s="1" t="s">
        <v>4082</v>
      </c>
      <c r="B523" s="1" t="s">
        <v>2904</v>
      </c>
      <c r="C523" s="1" t="s">
        <v>3310</v>
      </c>
      <c r="D523" s="1">
        <v>1</v>
      </c>
      <c r="E523" s="1"/>
      <c r="F523" s="1" t="s">
        <v>22</v>
      </c>
      <c r="G523" s="1" t="s">
        <v>403</v>
      </c>
      <c r="H523" s="1" t="s">
        <v>2906</v>
      </c>
      <c r="I523" s="1"/>
      <c r="J523" s="1" t="s">
        <v>4083</v>
      </c>
      <c r="K523" s="1" t="s">
        <v>59</v>
      </c>
      <c r="L523" s="1"/>
    </row>
    <row r="524" spans="1:12" ht="91.2">
      <c r="A524" s="1" t="s">
        <v>4084</v>
      </c>
      <c r="B524" s="1" t="s">
        <v>2909</v>
      </c>
      <c r="C524" s="1" t="s">
        <v>3310</v>
      </c>
      <c r="D524" s="1">
        <v>1</v>
      </c>
      <c r="E524" s="1"/>
      <c r="F524" s="1" t="s">
        <v>27</v>
      </c>
      <c r="G524" s="1" t="s">
        <v>1218</v>
      </c>
      <c r="H524" s="1" t="s">
        <v>2911</v>
      </c>
      <c r="I524" s="1"/>
      <c r="J524" s="1" t="s">
        <v>4085</v>
      </c>
      <c r="K524" s="1" t="s">
        <v>59</v>
      </c>
      <c r="L524" s="1"/>
    </row>
    <row r="525" spans="1:12" ht="182.4">
      <c r="A525" s="1" t="s">
        <v>4086</v>
      </c>
      <c r="B525" s="1" t="s">
        <v>2914</v>
      </c>
      <c r="C525" s="1" t="s">
        <v>3314</v>
      </c>
      <c r="D525" s="1">
        <v>2</v>
      </c>
      <c r="E525" s="1"/>
      <c r="F525" s="1" t="s">
        <v>27</v>
      </c>
      <c r="G525" s="1" t="s">
        <v>4087</v>
      </c>
      <c r="H525" s="1" t="s">
        <v>4088</v>
      </c>
      <c r="I525" s="1"/>
      <c r="J525" s="1" t="s">
        <v>4089</v>
      </c>
      <c r="K525" s="1" t="s">
        <v>59</v>
      </c>
      <c r="L525" s="1" t="s">
        <v>3317</v>
      </c>
    </row>
    <row r="526" spans="1:12" ht="91.2">
      <c r="A526" s="1" t="s">
        <v>4090</v>
      </c>
      <c r="B526" s="1" t="s">
        <v>2925</v>
      </c>
      <c r="C526" s="1" t="s">
        <v>3310</v>
      </c>
      <c r="D526" s="1">
        <v>1</v>
      </c>
      <c r="E526" s="1"/>
      <c r="F526" s="1" t="s">
        <v>22</v>
      </c>
      <c r="G526" s="1" t="s">
        <v>251</v>
      </c>
      <c r="H526" s="1" t="s">
        <v>2481</v>
      </c>
      <c r="I526" s="1"/>
      <c r="J526" s="1" t="s">
        <v>4091</v>
      </c>
      <c r="K526" s="1" t="s">
        <v>59</v>
      </c>
      <c r="L526" s="1"/>
    </row>
    <row r="527" spans="1:12" ht="91.2">
      <c r="A527" s="1" t="s">
        <v>4092</v>
      </c>
      <c r="B527" s="1" t="s">
        <v>2929</v>
      </c>
      <c r="C527" s="1" t="s">
        <v>3310</v>
      </c>
      <c r="D527" s="1">
        <v>1</v>
      </c>
      <c r="E527" s="1"/>
      <c r="F527" s="1" t="s">
        <v>22</v>
      </c>
      <c r="G527" s="1" t="s">
        <v>403</v>
      </c>
      <c r="H527" s="1" t="s">
        <v>2931</v>
      </c>
      <c r="I527" s="1" t="s">
        <v>2932</v>
      </c>
      <c r="J527" s="1" t="s">
        <v>4093</v>
      </c>
      <c r="K527" s="1" t="s">
        <v>59</v>
      </c>
      <c r="L527" s="1"/>
    </row>
    <row r="528" spans="1:12" ht="91.2">
      <c r="A528" s="1" t="s">
        <v>4094</v>
      </c>
      <c r="B528" s="1" t="s">
        <v>2935</v>
      </c>
      <c r="C528" s="1" t="s">
        <v>3310</v>
      </c>
      <c r="D528" s="1">
        <v>1</v>
      </c>
      <c r="E528" s="1"/>
      <c r="F528" s="1" t="s">
        <v>29</v>
      </c>
      <c r="G528" s="1" t="s">
        <v>403</v>
      </c>
      <c r="H528" s="1" t="s">
        <v>615</v>
      </c>
      <c r="I528" s="1"/>
      <c r="J528" s="1" t="s">
        <v>4095</v>
      </c>
      <c r="K528" s="1" t="s">
        <v>59</v>
      </c>
      <c r="L528" s="1"/>
    </row>
    <row r="529" spans="1:12" ht="91.2">
      <c r="A529" s="1" t="s">
        <v>4096</v>
      </c>
      <c r="B529" s="1" t="s">
        <v>2939</v>
      </c>
      <c r="C529" s="1" t="s">
        <v>3310</v>
      </c>
      <c r="D529" s="1">
        <v>1</v>
      </c>
      <c r="E529" s="1"/>
      <c r="F529" s="1" t="s">
        <v>22</v>
      </c>
      <c r="G529" s="1" t="s">
        <v>614</v>
      </c>
      <c r="H529" s="1" t="s">
        <v>2941</v>
      </c>
      <c r="I529" s="1" t="s">
        <v>2942</v>
      </c>
      <c r="J529" s="1" t="s">
        <v>4097</v>
      </c>
      <c r="K529" s="1" t="s">
        <v>59</v>
      </c>
      <c r="L529" s="1"/>
    </row>
    <row r="530" spans="1:12" ht="91.2">
      <c r="A530" s="1" t="s">
        <v>4098</v>
      </c>
      <c r="B530" s="1" t="s">
        <v>2945</v>
      </c>
      <c r="C530" s="1" t="s">
        <v>3310</v>
      </c>
      <c r="D530" s="1">
        <v>1</v>
      </c>
      <c r="E530" s="1"/>
      <c r="F530" s="1" t="s">
        <v>29</v>
      </c>
      <c r="G530" s="1" t="s">
        <v>403</v>
      </c>
      <c r="H530" s="1" t="s">
        <v>2947</v>
      </c>
      <c r="I530" s="1"/>
      <c r="J530" s="1" t="s">
        <v>4099</v>
      </c>
      <c r="K530" s="1" t="s">
        <v>59</v>
      </c>
      <c r="L530" s="1"/>
    </row>
    <row r="531" spans="1:12" ht="91.2">
      <c r="A531" s="1" t="s">
        <v>4100</v>
      </c>
      <c r="B531" s="1" t="s">
        <v>2950</v>
      </c>
      <c r="C531" s="1" t="s">
        <v>3310</v>
      </c>
      <c r="D531" s="1">
        <v>1</v>
      </c>
      <c r="E531" s="1"/>
      <c r="F531" s="1" t="s">
        <v>22</v>
      </c>
      <c r="G531" s="1" t="s">
        <v>1218</v>
      </c>
      <c r="H531" s="1" t="s">
        <v>2952</v>
      </c>
      <c r="I531" s="1"/>
      <c r="J531" s="1" t="s">
        <v>4101</v>
      </c>
      <c r="K531" s="1" t="s">
        <v>59</v>
      </c>
      <c r="L531" s="1"/>
    </row>
    <row r="532" spans="1:12" ht="91.2">
      <c r="A532" s="1" t="s">
        <v>4102</v>
      </c>
      <c r="B532" s="1" t="s">
        <v>2955</v>
      </c>
      <c r="C532" s="1" t="s">
        <v>3310</v>
      </c>
      <c r="D532" s="1">
        <v>1</v>
      </c>
      <c r="E532" s="1"/>
      <c r="F532" s="1" t="s">
        <v>22</v>
      </c>
      <c r="G532" s="1" t="s">
        <v>1295</v>
      </c>
      <c r="H532" s="1" t="s">
        <v>2113</v>
      </c>
      <c r="I532" s="1"/>
      <c r="J532" s="1" t="s">
        <v>4103</v>
      </c>
      <c r="K532" s="1" t="s">
        <v>59</v>
      </c>
      <c r="L532" s="1"/>
    </row>
    <row r="533" spans="1:12" ht="91.2">
      <c r="A533" s="1" t="s">
        <v>4104</v>
      </c>
      <c r="B533" s="1" t="s">
        <v>2959</v>
      </c>
      <c r="C533" s="1" t="s">
        <v>3310</v>
      </c>
      <c r="D533" s="1">
        <v>1</v>
      </c>
      <c r="E533" s="1"/>
      <c r="F533" s="1" t="s">
        <v>29</v>
      </c>
      <c r="G533" s="1" t="s">
        <v>1218</v>
      </c>
      <c r="H533" s="1" t="s">
        <v>2961</v>
      </c>
      <c r="I533" s="1"/>
      <c r="J533" s="1" t="s">
        <v>4105</v>
      </c>
      <c r="K533" s="1" t="s">
        <v>59</v>
      </c>
      <c r="L533" s="1"/>
    </row>
    <row r="534" spans="1:12" ht="91.2">
      <c r="A534" s="1" t="s">
        <v>4106</v>
      </c>
      <c r="B534" s="1" t="s">
        <v>2964</v>
      </c>
      <c r="C534" s="1" t="s">
        <v>3310</v>
      </c>
      <c r="D534" s="1">
        <v>1</v>
      </c>
      <c r="E534" s="1"/>
      <c r="F534" s="1" t="s">
        <v>22</v>
      </c>
      <c r="G534" s="1" t="s">
        <v>1218</v>
      </c>
      <c r="H534" s="1" t="s">
        <v>2966</v>
      </c>
      <c r="I534" s="1"/>
      <c r="J534" s="1" t="s">
        <v>4107</v>
      </c>
      <c r="K534" s="1" t="s">
        <v>59</v>
      </c>
      <c r="L534" s="1"/>
    </row>
    <row r="535" spans="1:12" ht="91.2">
      <c r="A535" s="1" t="s">
        <v>4108</v>
      </c>
      <c r="B535" s="1" t="s">
        <v>2969</v>
      </c>
      <c r="C535" s="1" t="s">
        <v>3310</v>
      </c>
      <c r="D535" s="1">
        <v>1</v>
      </c>
      <c r="E535" s="1"/>
      <c r="F535" s="1" t="s">
        <v>22</v>
      </c>
      <c r="G535" s="1" t="s">
        <v>1218</v>
      </c>
      <c r="H535" s="1" t="s">
        <v>2971</v>
      </c>
      <c r="I535" s="1" t="s">
        <v>2972</v>
      </c>
      <c r="J535" s="1" t="s">
        <v>4109</v>
      </c>
      <c r="K535" s="1" t="s">
        <v>59</v>
      </c>
      <c r="L535" s="1"/>
    </row>
    <row r="536" spans="1:12" ht="182.4">
      <c r="A536" s="1" t="s">
        <v>4110</v>
      </c>
      <c r="B536" s="1" t="s">
        <v>2975</v>
      </c>
      <c r="C536" s="1" t="s">
        <v>3320</v>
      </c>
      <c r="D536" s="1">
        <v>2</v>
      </c>
      <c r="E536" s="1">
        <v>2</v>
      </c>
      <c r="F536" s="1" t="s">
        <v>22</v>
      </c>
      <c r="G536" s="1" t="s">
        <v>4087</v>
      </c>
      <c r="H536" s="1" t="s">
        <v>4111</v>
      </c>
      <c r="I536" s="1" t="s">
        <v>4112</v>
      </c>
      <c r="J536" s="1" t="s">
        <v>4113</v>
      </c>
      <c r="K536" s="1" t="s">
        <v>59</v>
      </c>
      <c r="L536" s="1"/>
    </row>
    <row r="537" spans="1:12" ht="102.6">
      <c r="A537" s="1" t="s">
        <v>4114</v>
      </c>
      <c r="B537" s="1" t="s">
        <v>2986</v>
      </c>
      <c r="C537" s="1" t="s">
        <v>3320</v>
      </c>
      <c r="D537" s="1">
        <v>2</v>
      </c>
      <c r="E537" s="1">
        <v>2</v>
      </c>
      <c r="F537" s="1" t="s">
        <v>3760</v>
      </c>
      <c r="G537" s="1" t="s">
        <v>251</v>
      </c>
      <c r="H537" s="1"/>
      <c r="I537" s="1" t="s">
        <v>4115</v>
      </c>
      <c r="J537" s="1" t="s">
        <v>4116</v>
      </c>
      <c r="K537" s="1" t="s">
        <v>59</v>
      </c>
      <c r="L537" s="1"/>
    </row>
    <row r="538" spans="1:12" ht="102.6">
      <c r="A538" s="1" t="s">
        <v>4117</v>
      </c>
      <c r="B538" s="1" t="s">
        <v>2995</v>
      </c>
      <c r="C538" s="1" t="s">
        <v>3320</v>
      </c>
      <c r="D538" s="1">
        <v>2</v>
      </c>
      <c r="E538" s="1">
        <v>2</v>
      </c>
      <c r="F538" s="1" t="s">
        <v>29</v>
      </c>
      <c r="G538" s="1" t="s">
        <v>1218</v>
      </c>
      <c r="H538" s="1" t="s">
        <v>2654</v>
      </c>
      <c r="I538" s="1" t="s">
        <v>4118</v>
      </c>
      <c r="J538" s="1" t="s">
        <v>4119</v>
      </c>
      <c r="K538" s="1" t="s">
        <v>59</v>
      </c>
      <c r="L538" s="1"/>
    </row>
    <row r="539" spans="1:12" ht="91.2">
      <c r="A539" s="1" t="s">
        <v>4120</v>
      </c>
      <c r="B539" s="1" t="s">
        <v>3001</v>
      </c>
      <c r="C539" s="1" t="s">
        <v>3310</v>
      </c>
      <c r="D539" s="1">
        <v>1</v>
      </c>
      <c r="E539" s="1"/>
      <c r="F539" s="1" t="s">
        <v>22</v>
      </c>
      <c r="G539" s="1" t="s">
        <v>614</v>
      </c>
      <c r="H539" s="1"/>
      <c r="I539" s="1" t="s">
        <v>3003</v>
      </c>
      <c r="J539" s="1" t="s">
        <v>4121</v>
      </c>
      <c r="K539" s="1" t="s">
        <v>59</v>
      </c>
      <c r="L539" s="1"/>
    </row>
    <row r="540" spans="1:12" ht="91.2">
      <c r="A540" s="1" t="s">
        <v>4122</v>
      </c>
      <c r="B540" s="1" t="s">
        <v>3071</v>
      </c>
      <c r="C540" s="1" t="s">
        <v>3320</v>
      </c>
      <c r="D540" s="1">
        <v>1</v>
      </c>
      <c r="E540" s="1">
        <v>25</v>
      </c>
      <c r="F540" s="1" t="s">
        <v>22</v>
      </c>
      <c r="G540" s="1" t="s">
        <v>1218</v>
      </c>
      <c r="H540" s="1" t="s">
        <v>1384</v>
      </c>
      <c r="I540" s="1" t="s">
        <v>3073</v>
      </c>
      <c r="J540" s="1" t="s">
        <v>4123</v>
      </c>
      <c r="K540" s="1" t="s">
        <v>59</v>
      </c>
      <c r="L540" s="1"/>
    </row>
    <row r="541" spans="1:12" ht="91.2">
      <c r="A541" s="1" t="s">
        <v>4124</v>
      </c>
      <c r="B541" s="1" t="s">
        <v>3076</v>
      </c>
      <c r="C541" s="1" t="s">
        <v>3310</v>
      </c>
      <c r="D541" s="1">
        <v>1</v>
      </c>
      <c r="E541" s="1"/>
      <c r="F541" s="1" t="s">
        <v>27</v>
      </c>
      <c r="G541" s="1" t="s">
        <v>403</v>
      </c>
      <c r="H541" s="1" t="s">
        <v>3078</v>
      </c>
      <c r="I541" s="1" t="s">
        <v>3079</v>
      </c>
      <c r="J541" s="1" t="s">
        <v>4125</v>
      </c>
      <c r="K541" s="1" t="s">
        <v>59</v>
      </c>
      <c r="L541" s="1"/>
    </row>
    <row r="542" spans="1:12" ht="91.2">
      <c r="A542" s="1" t="s">
        <v>4126</v>
      </c>
      <c r="B542" s="1" t="s">
        <v>3082</v>
      </c>
      <c r="C542" s="1" t="s">
        <v>3310</v>
      </c>
      <c r="D542" s="1">
        <v>1</v>
      </c>
      <c r="E542" s="1"/>
      <c r="F542" s="1" t="s">
        <v>22</v>
      </c>
      <c r="G542" s="1" t="s">
        <v>1218</v>
      </c>
      <c r="H542" s="1" t="s">
        <v>3084</v>
      </c>
      <c r="I542" s="1"/>
      <c r="J542" s="1" t="s">
        <v>4127</v>
      </c>
      <c r="K542" s="1" t="s">
        <v>59</v>
      </c>
      <c r="L542" s="1"/>
    </row>
    <row r="543" spans="1:12" ht="91.2">
      <c r="A543" s="1" t="s">
        <v>4128</v>
      </c>
      <c r="B543" s="1" t="s">
        <v>3087</v>
      </c>
      <c r="C543" s="1" t="s">
        <v>3310</v>
      </c>
      <c r="D543" s="1">
        <v>1</v>
      </c>
      <c r="E543" s="1"/>
      <c r="F543" s="1" t="s">
        <v>29</v>
      </c>
      <c r="G543" s="1" t="s">
        <v>1218</v>
      </c>
      <c r="H543" s="1" t="s">
        <v>3089</v>
      </c>
      <c r="I543" s="1"/>
      <c r="J543" s="1" t="s">
        <v>4129</v>
      </c>
      <c r="K543" s="1" t="s">
        <v>59</v>
      </c>
      <c r="L543" s="1"/>
    </row>
    <row r="544" spans="1:12" ht="91.2">
      <c r="A544" s="1" t="s">
        <v>4130</v>
      </c>
      <c r="B544" s="1" t="s">
        <v>3092</v>
      </c>
      <c r="C544" s="1" t="s">
        <v>3310</v>
      </c>
      <c r="D544" s="1">
        <v>1</v>
      </c>
      <c r="E544" s="1"/>
      <c r="F544" s="1" t="s">
        <v>22</v>
      </c>
      <c r="G544" s="1" t="s">
        <v>1218</v>
      </c>
      <c r="H544" s="1" t="s">
        <v>3094</v>
      </c>
      <c r="I544" s="1" t="s">
        <v>3095</v>
      </c>
      <c r="J544" s="1" t="s">
        <v>4131</v>
      </c>
      <c r="K544" s="1" t="s">
        <v>59</v>
      </c>
      <c r="L544" s="1"/>
    </row>
    <row r="545" spans="1:12" ht="91.2">
      <c r="A545" s="1" t="s">
        <v>4132</v>
      </c>
      <c r="B545" s="1" t="s">
        <v>3098</v>
      </c>
      <c r="C545" s="1" t="s">
        <v>3310</v>
      </c>
      <c r="D545" s="1">
        <v>1</v>
      </c>
      <c r="E545" s="1"/>
      <c r="F545" s="1" t="s">
        <v>22</v>
      </c>
      <c r="G545" s="1" t="s">
        <v>614</v>
      </c>
      <c r="H545" s="1" t="s">
        <v>3100</v>
      </c>
      <c r="I545" s="1"/>
      <c r="J545" s="1" t="s">
        <v>4133</v>
      </c>
      <c r="K545" s="1" t="s">
        <v>59</v>
      </c>
      <c r="L545" s="1"/>
    </row>
    <row r="546" spans="1:12" ht="91.2">
      <c r="A546" s="1" t="s">
        <v>4134</v>
      </c>
      <c r="B546" s="1" t="s">
        <v>3103</v>
      </c>
      <c r="C546" s="1" t="s">
        <v>3310</v>
      </c>
      <c r="D546" s="1">
        <v>1</v>
      </c>
      <c r="E546" s="1"/>
      <c r="F546" s="1" t="s">
        <v>22</v>
      </c>
      <c r="G546" s="1" t="s">
        <v>251</v>
      </c>
      <c r="H546" s="1" t="s">
        <v>3105</v>
      </c>
      <c r="I546" s="1" t="s">
        <v>3106</v>
      </c>
      <c r="J546" s="1" t="s">
        <v>4135</v>
      </c>
      <c r="K546" s="1" t="s">
        <v>59</v>
      </c>
      <c r="L546" s="1"/>
    </row>
    <row r="547" spans="1:12" ht="91.2">
      <c r="A547" s="1" t="s">
        <v>4136</v>
      </c>
      <c r="B547" s="1" t="s">
        <v>3109</v>
      </c>
      <c r="C547" s="1" t="s">
        <v>3310</v>
      </c>
      <c r="D547" s="1">
        <v>1</v>
      </c>
      <c r="E547" s="1"/>
      <c r="F547" s="1" t="s">
        <v>22</v>
      </c>
      <c r="G547" s="1" t="s">
        <v>251</v>
      </c>
      <c r="H547" s="1" t="s">
        <v>3111</v>
      </c>
      <c r="I547" s="1"/>
      <c r="J547" s="1" t="s">
        <v>4137</v>
      </c>
      <c r="K547" s="1" t="s">
        <v>59</v>
      </c>
      <c r="L547" s="1"/>
    </row>
    <row r="548" spans="1:12" ht="91.2">
      <c r="A548" s="1" t="s">
        <v>4138</v>
      </c>
      <c r="B548" s="1" t="s">
        <v>3114</v>
      </c>
      <c r="C548" s="1" t="s">
        <v>3310</v>
      </c>
      <c r="D548" s="1">
        <v>1</v>
      </c>
      <c r="E548" s="1"/>
      <c r="F548" s="1" t="s">
        <v>22</v>
      </c>
      <c r="G548" s="1" t="s">
        <v>614</v>
      </c>
      <c r="H548" s="1" t="s">
        <v>3116</v>
      </c>
      <c r="I548" s="1"/>
      <c r="J548" s="1" t="s">
        <v>4139</v>
      </c>
      <c r="K548" s="1" t="s">
        <v>59</v>
      </c>
      <c r="L548" s="1"/>
    </row>
    <row r="549" spans="1:12" ht="91.2">
      <c r="A549" s="1" t="s">
        <v>4140</v>
      </c>
      <c r="B549" s="1" t="s">
        <v>3119</v>
      </c>
      <c r="C549" s="1" t="s">
        <v>3310</v>
      </c>
      <c r="D549" s="1">
        <v>1</v>
      </c>
      <c r="E549" s="1"/>
      <c r="F549" s="1" t="s">
        <v>22</v>
      </c>
      <c r="G549" s="1" t="s">
        <v>1218</v>
      </c>
      <c r="H549" s="1" t="s">
        <v>3121</v>
      </c>
      <c r="I549" s="1"/>
      <c r="J549" s="1" t="s">
        <v>4141</v>
      </c>
      <c r="K549" s="1" t="s">
        <v>59</v>
      </c>
      <c r="L549" s="1"/>
    </row>
    <row r="550" spans="1:12" ht="91.2">
      <c r="A550" s="1" t="s">
        <v>4142</v>
      </c>
      <c r="B550" s="1" t="s">
        <v>3124</v>
      </c>
      <c r="C550" s="1" t="s">
        <v>3310</v>
      </c>
      <c r="D550" s="1">
        <v>1</v>
      </c>
      <c r="E550" s="1"/>
      <c r="F550" s="1" t="s">
        <v>27</v>
      </c>
      <c r="G550" s="1" t="s">
        <v>1295</v>
      </c>
      <c r="H550" s="1"/>
      <c r="I550" s="1"/>
      <c r="J550" s="1" t="s">
        <v>4143</v>
      </c>
      <c r="K550" s="1" t="s">
        <v>59</v>
      </c>
      <c r="L550" s="1"/>
    </row>
    <row r="551" spans="1:12" ht="91.2">
      <c r="A551" s="1" t="s">
        <v>4144</v>
      </c>
      <c r="B551" s="1" t="s">
        <v>3128</v>
      </c>
      <c r="C551" s="1" t="s">
        <v>3310</v>
      </c>
      <c r="D551" s="1">
        <v>1</v>
      </c>
      <c r="E551" s="1"/>
      <c r="F551" s="1" t="s">
        <v>22</v>
      </c>
      <c r="G551" s="1" t="s">
        <v>403</v>
      </c>
      <c r="H551" s="1" t="s">
        <v>3130</v>
      </c>
      <c r="I551" s="1"/>
      <c r="J551" s="1" t="s">
        <v>4145</v>
      </c>
      <c r="K551" s="1" t="s">
        <v>59</v>
      </c>
      <c r="L551" s="1"/>
    </row>
    <row r="552" spans="1:12" ht="91.2">
      <c r="A552" s="1" t="s">
        <v>4146</v>
      </c>
      <c r="B552" s="1" t="s">
        <v>3133</v>
      </c>
      <c r="C552" s="1" t="s">
        <v>3320</v>
      </c>
      <c r="D552" s="1">
        <v>1</v>
      </c>
      <c r="E552" s="1">
        <v>2</v>
      </c>
      <c r="F552" s="1" t="s">
        <v>22</v>
      </c>
      <c r="G552" s="1" t="s">
        <v>1218</v>
      </c>
      <c r="H552" s="1"/>
      <c r="I552" s="1" t="s">
        <v>3135</v>
      </c>
      <c r="J552" s="1" t="s">
        <v>4147</v>
      </c>
      <c r="K552" s="1" t="s">
        <v>59</v>
      </c>
      <c r="L552" s="1"/>
    </row>
    <row r="553" spans="1:12" ht="91.2">
      <c r="A553" s="1" t="s">
        <v>4148</v>
      </c>
      <c r="B553" s="1" t="s">
        <v>3138</v>
      </c>
      <c r="C553" s="1" t="s">
        <v>3310</v>
      </c>
      <c r="D553" s="1">
        <v>1</v>
      </c>
      <c r="E553" s="1"/>
      <c r="F553" s="1" t="s">
        <v>22</v>
      </c>
      <c r="G553" s="1" t="s">
        <v>1295</v>
      </c>
      <c r="H553" s="1" t="s">
        <v>3140</v>
      </c>
      <c r="I553" s="1"/>
      <c r="J553" s="1" t="s">
        <v>4149</v>
      </c>
      <c r="K553" s="1" t="s">
        <v>59</v>
      </c>
      <c r="L553" s="1"/>
    </row>
    <row r="554" spans="1:12" ht="91.2">
      <c r="A554" s="1" t="s">
        <v>4150</v>
      </c>
      <c r="B554" s="1" t="s">
        <v>3143</v>
      </c>
      <c r="C554" s="1" t="s">
        <v>3310</v>
      </c>
      <c r="D554" s="1">
        <v>1</v>
      </c>
      <c r="E554" s="1"/>
      <c r="F554" s="1" t="s">
        <v>22</v>
      </c>
      <c r="G554" s="1" t="s">
        <v>1218</v>
      </c>
      <c r="H554" s="1" t="s">
        <v>1253</v>
      </c>
      <c r="I554" s="1" t="s">
        <v>3145</v>
      </c>
      <c r="J554" s="1" t="s">
        <v>4151</v>
      </c>
      <c r="K554" s="1" t="s">
        <v>59</v>
      </c>
      <c r="L554" s="1"/>
    </row>
    <row r="555" spans="1:12" ht="91.2">
      <c r="A555" s="1" t="s">
        <v>4152</v>
      </c>
      <c r="B555" s="1" t="s">
        <v>3148</v>
      </c>
      <c r="C555" s="1" t="s">
        <v>3310</v>
      </c>
      <c r="D555" s="1">
        <v>1</v>
      </c>
      <c r="E555" s="1"/>
      <c r="F555" s="1" t="s">
        <v>22</v>
      </c>
      <c r="G555" s="1" t="s">
        <v>251</v>
      </c>
      <c r="H555" s="1" t="s">
        <v>3150</v>
      </c>
      <c r="I555" s="1"/>
      <c r="J555" s="1" t="s">
        <v>4153</v>
      </c>
      <c r="K555" s="1" t="s">
        <v>59</v>
      </c>
      <c r="L555" s="1"/>
    </row>
    <row r="556" spans="1:12" ht="182.4">
      <c r="A556" s="1" t="s">
        <v>4154</v>
      </c>
      <c r="B556" s="1" t="s">
        <v>3153</v>
      </c>
      <c r="C556" s="1" t="s">
        <v>3320</v>
      </c>
      <c r="D556" s="1">
        <v>2</v>
      </c>
      <c r="E556" s="1">
        <v>2</v>
      </c>
      <c r="F556" s="1" t="s">
        <v>22</v>
      </c>
      <c r="G556" s="1" t="s">
        <v>4155</v>
      </c>
      <c r="H556" s="1" t="s">
        <v>1164</v>
      </c>
      <c r="I556" s="1" t="s">
        <v>4156</v>
      </c>
      <c r="J556" s="1" t="s">
        <v>4157</v>
      </c>
      <c r="K556" s="1" t="s">
        <v>59</v>
      </c>
      <c r="L556" s="1"/>
    </row>
    <row r="557" spans="1:12" ht="91.2">
      <c r="A557" s="1" t="s">
        <v>4158</v>
      </c>
      <c r="B557" s="1" t="s">
        <v>3162</v>
      </c>
      <c r="C557" s="1" t="s">
        <v>3310</v>
      </c>
      <c r="D557" s="1">
        <v>1</v>
      </c>
      <c r="E557" s="1"/>
      <c r="F557" s="1" t="s">
        <v>22</v>
      </c>
      <c r="G557" s="1" t="s">
        <v>614</v>
      </c>
      <c r="H557" s="1" t="s">
        <v>3164</v>
      </c>
      <c r="I557" s="1"/>
      <c r="J557" s="1" t="s">
        <v>4159</v>
      </c>
      <c r="K557" s="1" t="s">
        <v>59</v>
      </c>
      <c r="L557" s="1"/>
    </row>
    <row r="558" spans="1:12" ht="91.2">
      <c r="A558" s="1" t="s">
        <v>4160</v>
      </c>
      <c r="B558" s="1" t="s">
        <v>3167</v>
      </c>
      <c r="C558" s="1" t="s">
        <v>3310</v>
      </c>
      <c r="D558" s="1">
        <v>1</v>
      </c>
      <c r="E558" s="1"/>
      <c r="F558" s="1" t="s">
        <v>22</v>
      </c>
      <c r="G558" s="1" t="s">
        <v>403</v>
      </c>
      <c r="H558" s="1" t="s">
        <v>3169</v>
      </c>
      <c r="I558" s="1" t="s">
        <v>3170</v>
      </c>
      <c r="J558" s="1" t="s">
        <v>4161</v>
      </c>
      <c r="K558" s="1" t="s">
        <v>59</v>
      </c>
      <c r="L558" s="1"/>
    </row>
    <row r="559" spans="1:12" ht="91.2">
      <c r="A559" s="1" t="s">
        <v>4162</v>
      </c>
      <c r="B559" s="1" t="s">
        <v>3173</v>
      </c>
      <c r="C559" s="1" t="s">
        <v>3310</v>
      </c>
      <c r="D559" s="1">
        <v>1</v>
      </c>
      <c r="E559" s="1"/>
      <c r="F559" s="1" t="s">
        <v>22</v>
      </c>
      <c r="G559" s="1" t="s">
        <v>403</v>
      </c>
      <c r="H559" s="1" t="s">
        <v>3175</v>
      </c>
      <c r="I559" s="1"/>
      <c r="J559" s="1" t="s">
        <v>4163</v>
      </c>
      <c r="K559" s="1" t="s">
        <v>59</v>
      </c>
      <c r="L559" s="1"/>
    </row>
    <row r="560" spans="1:12" ht="91.2">
      <c r="A560" s="1" t="s">
        <v>4164</v>
      </c>
      <c r="B560" s="1" t="s">
        <v>3178</v>
      </c>
      <c r="C560" s="1" t="s">
        <v>3310</v>
      </c>
      <c r="D560" s="1">
        <v>1</v>
      </c>
      <c r="E560" s="1"/>
      <c r="F560" s="1" t="s">
        <v>29</v>
      </c>
      <c r="G560" s="1" t="s">
        <v>251</v>
      </c>
      <c r="H560" s="1" t="s">
        <v>3180</v>
      </c>
      <c r="I560" s="1"/>
      <c r="J560" s="1" t="s">
        <v>4165</v>
      </c>
      <c r="K560" s="1" t="s">
        <v>59</v>
      </c>
      <c r="L560" s="1"/>
    </row>
    <row r="561" spans="1:12" ht="91.2">
      <c r="A561" s="1" t="s">
        <v>4166</v>
      </c>
      <c r="B561" s="1" t="s">
        <v>3183</v>
      </c>
      <c r="C561" s="1" t="s">
        <v>3310</v>
      </c>
      <c r="D561" s="1">
        <v>1</v>
      </c>
      <c r="E561" s="1"/>
      <c r="F561" s="1" t="s">
        <v>22</v>
      </c>
      <c r="G561" s="1" t="s">
        <v>403</v>
      </c>
      <c r="H561" s="1" t="s">
        <v>3184</v>
      </c>
      <c r="I561" s="1"/>
      <c r="J561" s="1" t="s">
        <v>4167</v>
      </c>
      <c r="K561" s="1" t="s">
        <v>59</v>
      </c>
      <c r="L561" s="1"/>
    </row>
    <row r="562" spans="1:12" ht="91.2">
      <c r="A562" s="1" t="s">
        <v>4168</v>
      </c>
      <c r="B562" s="1" t="s">
        <v>3187</v>
      </c>
      <c r="C562" s="1" t="s">
        <v>3310</v>
      </c>
      <c r="D562" s="1">
        <v>1</v>
      </c>
      <c r="E562" s="1"/>
      <c r="F562" s="1" t="s">
        <v>22</v>
      </c>
      <c r="G562" s="1" t="s">
        <v>251</v>
      </c>
      <c r="H562" s="1" t="s">
        <v>3189</v>
      </c>
      <c r="I562" s="1" t="s">
        <v>3190</v>
      </c>
      <c r="J562" s="1" t="s">
        <v>4169</v>
      </c>
      <c r="K562" s="1" t="s">
        <v>59</v>
      </c>
      <c r="L562" s="1"/>
    </row>
    <row r="563" spans="1:12" ht="91.2">
      <c r="A563" s="1" t="s">
        <v>4170</v>
      </c>
      <c r="B563" s="1" t="s">
        <v>3193</v>
      </c>
      <c r="C563" s="1" t="s">
        <v>3310</v>
      </c>
      <c r="D563" s="1">
        <v>1</v>
      </c>
      <c r="E563" s="1"/>
      <c r="F563" s="1" t="s">
        <v>22</v>
      </c>
      <c r="G563" s="1" t="s">
        <v>614</v>
      </c>
      <c r="H563" s="1" t="s">
        <v>3195</v>
      </c>
      <c r="I563" s="1"/>
      <c r="J563" s="1" t="s">
        <v>4171</v>
      </c>
      <c r="K563" s="1" t="s">
        <v>59</v>
      </c>
      <c r="L563" s="1"/>
    </row>
    <row r="564" spans="1:12" ht="91.2">
      <c r="A564" s="1" t="s">
        <v>4172</v>
      </c>
      <c r="B564" s="1" t="s">
        <v>3198</v>
      </c>
      <c r="C564" s="1" t="s">
        <v>3310</v>
      </c>
      <c r="D564" s="1">
        <v>1</v>
      </c>
      <c r="E564" s="1"/>
      <c r="F564" s="1" t="s">
        <v>22</v>
      </c>
      <c r="G564" s="1" t="s">
        <v>403</v>
      </c>
      <c r="H564" s="1" t="s">
        <v>3200</v>
      </c>
      <c r="I564" s="1"/>
      <c r="J564" s="1" t="s">
        <v>4173</v>
      </c>
      <c r="K564" s="1" t="s">
        <v>59</v>
      </c>
      <c r="L564" s="1"/>
    </row>
    <row r="565" spans="1:12" ht="91.2">
      <c r="A565" s="1" t="s">
        <v>4174</v>
      </c>
      <c r="B565" s="1" t="s">
        <v>3203</v>
      </c>
      <c r="C565" s="1" t="s">
        <v>3310</v>
      </c>
      <c r="D565" s="1">
        <v>1</v>
      </c>
      <c r="E565" s="1"/>
      <c r="F565" s="1" t="s">
        <v>22</v>
      </c>
      <c r="G565" s="1" t="s">
        <v>614</v>
      </c>
      <c r="H565" s="1" t="s">
        <v>3205</v>
      </c>
      <c r="I565" s="1"/>
      <c r="J565" s="1" t="s">
        <v>4175</v>
      </c>
      <c r="K565" s="1" t="s">
        <v>59</v>
      </c>
      <c r="L565" s="1"/>
    </row>
    <row r="566" spans="1:12" ht="91.2">
      <c r="A566" s="1" t="s">
        <v>4176</v>
      </c>
      <c r="B566" s="1" t="s">
        <v>3208</v>
      </c>
      <c r="C566" s="1" t="s">
        <v>3310</v>
      </c>
      <c r="D566" s="1">
        <v>1</v>
      </c>
      <c r="E566" s="1"/>
      <c r="F566" s="1" t="s">
        <v>22</v>
      </c>
      <c r="G566" s="1" t="s">
        <v>403</v>
      </c>
      <c r="H566" s="1" t="s">
        <v>3210</v>
      </c>
      <c r="I566" s="1"/>
      <c r="J566" s="1" t="s">
        <v>4177</v>
      </c>
      <c r="K566" s="1" t="s">
        <v>59</v>
      </c>
      <c r="L566" s="1"/>
    </row>
    <row r="567" spans="1:12" ht="91.2">
      <c r="A567" s="1" t="s">
        <v>4178</v>
      </c>
      <c r="B567" s="1" t="s">
        <v>3213</v>
      </c>
      <c r="C567" s="1" t="s">
        <v>3310</v>
      </c>
      <c r="D567" s="1">
        <v>1</v>
      </c>
      <c r="E567" s="1"/>
      <c r="F567" s="1" t="s">
        <v>22</v>
      </c>
      <c r="G567" s="1" t="s">
        <v>1295</v>
      </c>
      <c r="H567" s="1" t="s">
        <v>615</v>
      </c>
      <c r="I567" s="1"/>
      <c r="J567" s="1" t="s">
        <v>4179</v>
      </c>
      <c r="K567" s="1" t="s">
        <v>59</v>
      </c>
      <c r="L567" s="1"/>
    </row>
    <row r="568" spans="1:12" ht="91.2">
      <c r="A568" s="1" t="s">
        <v>4180</v>
      </c>
      <c r="B568" s="1" t="s">
        <v>3226</v>
      </c>
      <c r="C568" s="1" t="s">
        <v>3310</v>
      </c>
      <c r="D568" s="1">
        <v>1</v>
      </c>
      <c r="E568" s="1"/>
      <c r="F568" s="1" t="s">
        <v>22</v>
      </c>
      <c r="G568" s="1" t="s">
        <v>614</v>
      </c>
      <c r="H568" s="1" t="s">
        <v>3228</v>
      </c>
      <c r="I568" s="1"/>
      <c r="J568" s="1" t="s">
        <v>4181</v>
      </c>
      <c r="K568" s="1" t="s">
        <v>59</v>
      </c>
      <c r="L568" s="1"/>
    </row>
    <row r="569" spans="1:12" ht="45.6">
      <c r="A569" s="1" t="s">
        <v>4182</v>
      </c>
      <c r="B569" s="1" t="s">
        <v>3255</v>
      </c>
      <c r="C569" s="1" t="s">
        <v>3320</v>
      </c>
      <c r="D569" s="1">
        <v>1</v>
      </c>
      <c r="E569" s="1">
        <v>2</v>
      </c>
      <c r="F569" s="1" t="s">
        <v>27</v>
      </c>
      <c r="G569" s="1"/>
      <c r="H569" s="1"/>
      <c r="I569" s="1" t="s">
        <v>3257</v>
      </c>
      <c r="J569" s="1" t="s">
        <v>3258</v>
      </c>
      <c r="K569" s="1" t="s">
        <v>59</v>
      </c>
      <c r="L569" s="1"/>
    </row>
    <row r="570" spans="1:12" ht="102.6">
      <c r="A570" s="1" t="s">
        <v>4183</v>
      </c>
      <c r="B570" s="1" t="s">
        <v>3264</v>
      </c>
      <c r="C570" s="1" t="s">
        <v>3320</v>
      </c>
      <c r="D570" s="1">
        <v>4</v>
      </c>
      <c r="E570" s="1">
        <v>4</v>
      </c>
      <c r="F570" s="1" t="s">
        <v>29</v>
      </c>
      <c r="G570" s="1"/>
      <c r="H570" s="1"/>
      <c r="I570" s="1" t="s">
        <v>4184</v>
      </c>
      <c r="J570" s="1" t="s">
        <v>4185</v>
      </c>
      <c r="K570" s="1" t="s">
        <v>59</v>
      </c>
      <c r="L57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2"/>
  <sheetViews>
    <sheetView showGridLines="0" tabSelected="1" workbookViewId="0"/>
  </sheetViews>
  <sheetFormatPr defaultRowHeight="13.8"/>
  <cols>
    <col min="1" max="1" width="15" customWidth="1"/>
    <col min="2" max="2" width="24" customWidth="1"/>
    <col min="3" max="3" width="22" customWidth="1"/>
    <col min="4" max="5" width="9" customWidth="1"/>
    <col min="6" max="6" width="42" customWidth="1"/>
    <col min="7" max="7" width="38" customWidth="1"/>
    <col min="8" max="9" width="12" customWidth="1"/>
    <col min="10" max="10" width="15" customWidth="1"/>
    <col min="11" max="12" width="17" customWidth="1"/>
    <col min="13" max="13" width="34" customWidth="1"/>
    <col min="14" max="14" width="18" customWidth="1"/>
    <col min="15" max="15" width="24" customWidth="1"/>
    <col min="16" max="16" width="28" customWidth="1"/>
    <col min="17" max="17" width="20" customWidth="1"/>
    <col min="18" max="18" width="35" customWidth="1"/>
    <col min="19" max="19" width="30" customWidth="1"/>
    <col min="20" max="22" width="42" customWidth="1"/>
    <col min="23" max="23" width="30" customWidth="1"/>
    <col min="24" max="24" width="35" customWidth="1"/>
    <col min="25" max="25" width="32" customWidth="1"/>
    <col min="26" max="26" width="38" customWidth="1"/>
    <col min="27" max="27" width="50" customWidth="1"/>
    <col min="28" max="28" width="13" customWidth="1"/>
  </cols>
  <sheetData>
    <row r="1" spans="1:28" ht="27.6">
      <c r="A1" s="6" t="s">
        <v>34</v>
      </c>
      <c r="B1" s="6" t="s">
        <v>13</v>
      </c>
      <c r="C1" s="6" t="s">
        <v>4186</v>
      </c>
      <c r="D1" s="6" t="s">
        <v>14</v>
      </c>
      <c r="E1" s="6" t="s">
        <v>4187</v>
      </c>
      <c r="F1" s="6" t="s">
        <v>4188</v>
      </c>
      <c r="G1" s="6" t="s">
        <v>4189</v>
      </c>
      <c r="H1" s="6" t="s">
        <v>4190</v>
      </c>
      <c r="I1" s="6" t="s">
        <v>4191</v>
      </c>
      <c r="J1" s="6" t="s">
        <v>4192</v>
      </c>
      <c r="K1" s="6" t="s">
        <v>4193</v>
      </c>
      <c r="L1" s="6" t="s">
        <v>4194</v>
      </c>
      <c r="M1" s="6" t="s">
        <v>4195</v>
      </c>
      <c r="N1" s="6" t="s">
        <v>41</v>
      </c>
      <c r="O1" s="6" t="s">
        <v>4196</v>
      </c>
      <c r="P1" s="6" t="s">
        <v>4197</v>
      </c>
      <c r="Q1" s="6" t="s">
        <v>4198</v>
      </c>
      <c r="R1" s="6" t="s">
        <v>4199</v>
      </c>
      <c r="S1" s="6" t="s">
        <v>4200</v>
      </c>
      <c r="T1" s="6" t="s">
        <v>4201</v>
      </c>
      <c r="U1" s="6" t="s">
        <v>4202</v>
      </c>
      <c r="V1" s="6" t="s">
        <v>4203</v>
      </c>
      <c r="W1" s="6" t="s">
        <v>4204</v>
      </c>
      <c r="X1" s="6" t="s">
        <v>4205</v>
      </c>
      <c r="Y1" s="6" t="s">
        <v>4206</v>
      </c>
      <c r="Z1" s="6" t="s">
        <v>4207</v>
      </c>
      <c r="AA1" s="6" t="s">
        <v>3307</v>
      </c>
      <c r="AB1" s="6" t="s">
        <v>49</v>
      </c>
    </row>
    <row r="2" spans="1:28" ht="45.6">
      <c r="A2" s="1" t="s">
        <v>4208</v>
      </c>
      <c r="B2" s="1" t="s">
        <v>4209</v>
      </c>
      <c r="C2" s="1" t="s">
        <v>4210</v>
      </c>
      <c r="D2" s="1" t="s">
        <v>21</v>
      </c>
      <c r="E2" s="1">
        <v>1</v>
      </c>
      <c r="F2" s="1" t="s">
        <v>4211</v>
      </c>
      <c r="G2" s="1" t="s">
        <v>4212</v>
      </c>
      <c r="H2" s="1" t="s">
        <v>4213</v>
      </c>
      <c r="I2" s="1" t="s">
        <v>4213</v>
      </c>
      <c r="J2" s="1" t="s">
        <v>4213</v>
      </c>
      <c r="K2" s="1" t="s">
        <v>4213</v>
      </c>
      <c r="L2" s="1" t="s">
        <v>4213</v>
      </c>
      <c r="M2" s="1" t="s">
        <v>4214</v>
      </c>
      <c r="N2" s="1" t="s">
        <v>4215</v>
      </c>
      <c r="O2" s="1" t="s">
        <v>4216</v>
      </c>
      <c r="P2" s="1" t="s">
        <v>4217</v>
      </c>
      <c r="Q2" s="1"/>
      <c r="R2" s="1" t="s">
        <v>4218</v>
      </c>
      <c r="S2" s="1"/>
      <c r="T2" s="1" t="s">
        <v>4219</v>
      </c>
      <c r="U2" s="1" t="s">
        <v>4220</v>
      </c>
      <c r="V2" s="1" t="s">
        <v>4221</v>
      </c>
      <c r="W2" s="1" t="s">
        <v>4222</v>
      </c>
      <c r="X2" s="1" t="s">
        <v>4223</v>
      </c>
      <c r="Y2" s="1" t="s">
        <v>4224</v>
      </c>
      <c r="Z2" s="1" t="s">
        <v>4225</v>
      </c>
      <c r="AA2" s="1" t="s">
        <v>4226</v>
      </c>
      <c r="AB2" s="1" t="s">
        <v>59</v>
      </c>
    </row>
    <row r="3" spans="1:28" ht="34.200000000000003">
      <c r="A3" s="1" t="s">
        <v>4227</v>
      </c>
      <c r="B3" s="1" t="s">
        <v>4228</v>
      </c>
      <c r="C3" s="1" t="s">
        <v>4229</v>
      </c>
      <c r="D3" s="1" t="s">
        <v>21</v>
      </c>
      <c r="E3" s="1">
        <v>2</v>
      </c>
      <c r="F3" s="1" t="s">
        <v>4230</v>
      </c>
      <c r="G3" s="1" t="s">
        <v>4231</v>
      </c>
      <c r="H3" s="1" t="s">
        <v>4213</v>
      </c>
      <c r="I3" s="1" t="s">
        <v>4213</v>
      </c>
      <c r="J3" s="1" t="s">
        <v>4213</v>
      </c>
      <c r="K3" s="1" t="s">
        <v>4213</v>
      </c>
      <c r="L3" s="1" t="s">
        <v>4213</v>
      </c>
      <c r="M3" s="1" t="s">
        <v>4232</v>
      </c>
      <c r="N3" s="1" t="s">
        <v>4233</v>
      </c>
      <c r="O3" s="1"/>
      <c r="P3" s="1" t="s">
        <v>4234</v>
      </c>
      <c r="Q3" s="1"/>
      <c r="R3" s="1" t="s">
        <v>4235</v>
      </c>
      <c r="S3" s="1" t="s">
        <v>4236</v>
      </c>
      <c r="T3" s="1" t="s">
        <v>4237</v>
      </c>
      <c r="U3" s="1" t="s">
        <v>4238</v>
      </c>
      <c r="V3" s="1" t="s">
        <v>4239</v>
      </c>
      <c r="W3" s="1" t="s">
        <v>4240</v>
      </c>
      <c r="X3" s="1" t="s">
        <v>4241</v>
      </c>
      <c r="Y3" s="1" t="s">
        <v>4242</v>
      </c>
      <c r="Z3" s="1" t="s">
        <v>4243</v>
      </c>
      <c r="AA3" s="1" t="s">
        <v>4244</v>
      </c>
      <c r="AB3" s="1" t="s">
        <v>59</v>
      </c>
    </row>
    <row r="4" spans="1:28" ht="45.6">
      <c r="A4" s="1" t="s">
        <v>4245</v>
      </c>
      <c r="B4" s="1" t="s">
        <v>4246</v>
      </c>
      <c r="C4" s="1" t="s">
        <v>4247</v>
      </c>
      <c r="D4" s="1" t="s">
        <v>21</v>
      </c>
      <c r="E4" s="1">
        <v>3</v>
      </c>
      <c r="F4" s="1" t="s">
        <v>4248</v>
      </c>
      <c r="G4" s="1" t="s">
        <v>4249</v>
      </c>
      <c r="H4" s="1" t="s">
        <v>4213</v>
      </c>
      <c r="I4" s="1" t="s">
        <v>4213</v>
      </c>
      <c r="J4" s="1" t="s">
        <v>4213</v>
      </c>
      <c r="K4" s="1" t="s">
        <v>4213</v>
      </c>
      <c r="L4" s="1" t="s">
        <v>4213</v>
      </c>
      <c r="M4" s="1" t="s">
        <v>4250</v>
      </c>
      <c r="N4" s="1" t="s">
        <v>4251</v>
      </c>
      <c r="O4" s="1" t="s">
        <v>4252</v>
      </c>
      <c r="P4" s="1" t="s">
        <v>4253</v>
      </c>
      <c r="Q4" s="1"/>
      <c r="R4" s="1" t="s">
        <v>4254</v>
      </c>
      <c r="S4" s="1" t="s">
        <v>4255</v>
      </c>
      <c r="T4" s="1" t="s">
        <v>4256</v>
      </c>
      <c r="U4" s="1" t="s">
        <v>4257</v>
      </c>
      <c r="V4" s="1" t="s">
        <v>4258</v>
      </c>
      <c r="W4" s="1" t="s">
        <v>4259</v>
      </c>
      <c r="X4" s="1" t="s">
        <v>4260</v>
      </c>
      <c r="Y4" s="1" t="s">
        <v>4261</v>
      </c>
      <c r="Z4" s="1" t="s">
        <v>4262</v>
      </c>
      <c r="AA4" s="1" t="s">
        <v>4263</v>
      </c>
      <c r="AB4" s="1" t="s">
        <v>59</v>
      </c>
    </row>
    <row r="5" spans="1:28" ht="45.6">
      <c r="A5" s="1" t="s">
        <v>4264</v>
      </c>
      <c r="B5" s="1" t="s">
        <v>4265</v>
      </c>
      <c r="C5" s="1" t="s">
        <v>4266</v>
      </c>
      <c r="D5" s="1" t="s">
        <v>21</v>
      </c>
      <c r="E5" s="1">
        <v>4</v>
      </c>
      <c r="F5" s="1" t="s">
        <v>4267</v>
      </c>
      <c r="G5" s="1" t="s">
        <v>4268</v>
      </c>
      <c r="H5" s="1" t="s">
        <v>4213</v>
      </c>
      <c r="I5" s="1" t="s">
        <v>4213</v>
      </c>
      <c r="J5" s="1" t="s">
        <v>4213</v>
      </c>
      <c r="K5" s="1" t="s">
        <v>4213</v>
      </c>
      <c r="L5" s="1" t="s">
        <v>4213</v>
      </c>
      <c r="M5" s="1" t="s">
        <v>4269</v>
      </c>
      <c r="N5" s="1" t="s">
        <v>4270</v>
      </c>
      <c r="O5" s="1" t="s">
        <v>4271</v>
      </c>
      <c r="P5" s="1" t="s">
        <v>4272</v>
      </c>
      <c r="Q5" s="1"/>
      <c r="R5" s="1" t="s">
        <v>4273</v>
      </c>
      <c r="S5" s="1"/>
      <c r="T5" s="1" t="s">
        <v>4274</v>
      </c>
      <c r="U5" s="1" t="s">
        <v>4275</v>
      </c>
      <c r="V5" s="1" t="s">
        <v>4276</v>
      </c>
      <c r="W5" s="1" t="s">
        <v>4277</v>
      </c>
      <c r="X5" s="1" t="s">
        <v>4278</v>
      </c>
      <c r="Y5" s="1" t="s">
        <v>4279</v>
      </c>
      <c r="Z5" s="1" t="s">
        <v>4280</v>
      </c>
      <c r="AA5" s="1" t="s">
        <v>4281</v>
      </c>
      <c r="AB5" s="1" t="s">
        <v>59</v>
      </c>
    </row>
    <row r="6" spans="1:28" ht="68.400000000000006">
      <c r="A6" s="1" t="s">
        <v>4282</v>
      </c>
      <c r="B6" s="1" t="s">
        <v>4283</v>
      </c>
      <c r="C6" s="1" t="s">
        <v>4284</v>
      </c>
      <c r="D6" s="1" t="s">
        <v>21</v>
      </c>
      <c r="E6" s="1">
        <v>5</v>
      </c>
      <c r="F6" s="1" t="s">
        <v>4285</v>
      </c>
      <c r="G6" s="1" t="s">
        <v>4286</v>
      </c>
      <c r="H6" s="1" t="s">
        <v>4213</v>
      </c>
      <c r="I6" s="1" t="s">
        <v>4213</v>
      </c>
      <c r="J6" s="1" t="s">
        <v>4213</v>
      </c>
      <c r="K6" s="1" t="s">
        <v>4213</v>
      </c>
      <c r="L6" s="1" t="s">
        <v>4213</v>
      </c>
      <c r="M6" s="1" t="s">
        <v>4287</v>
      </c>
      <c r="N6" s="1" t="s">
        <v>4288</v>
      </c>
      <c r="O6" s="1" t="s">
        <v>4289</v>
      </c>
      <c r="P6" s="1" t="s">
        <v>4290</v>
      </c>
      <c r="Q6" s="1"/>
      <c r="R6" s="1" t="s">
        <v>4291</v>
      </c>
      <c r="S6" s="1" t="s">
        <v>4292</v>
      </c>
      <c r="T6" s="1" t="s">
        <v>4293</v>
      </c>
      <c r="U6" s="1" t="s">
        <v>4294</v>
      </c>
      <c r="V6" s="1" t="s">
        <v>4295</v>
      </c>
      <c r="W6" s="1" t="s">
        <v>4296</v>
      </c>
      <c r="X6" s="1" t="s">
        <v>4297</v>
      </c>
      <c r="Y6" s="1" t="s">
        <v>4298</v>
      </c>
      <c r="Z6" s="1" t="s">
        <v>4299</v>
      </c>
      <c r="AA6" s="1" t="s">
        <v>4300</v>
      </c>
      <c r="AB6" s="1" t="s">
        <v>59</v>
      </c>
    </row>
    <row r="7" spans="1:28" ht="45.6">
      <c r="A7" s="1" t="s">
        <v>4301</v>
      </c>
      <c r="B7" s="1" t="s">
        <v>4302</v>
      </c>
      <c r="C7" s="1" t="s">
        <v>4303</v>
      </c>
      <c r="D7" s="1" t="s">
        <v>21</v>
      </c>
      <c r="E7" s="1">
        <v>6</v>
      </c>
      <c r="F7" s="1" t="s">
        <v>4304</v>
      </c>
      <c r="G7" s="1" t="s">
        <v>4305</v>
      </c>
      <c r="H7" s="1" t="s">
        <v>4213</v>
      </c>
      <c r="I7" s="1" t="s">
        <v>4213</v>
      </c>
      <c r="J7" s="1" t="s">
        <v>4213</v>
      </c>
      <c r="K7" s="1" t="s">
        <v>4213</v>
      </c>
      <c r="L7" s="1" t="s">
        <v>4213</v>
      </c>
      <c r="M7" s="1" t="s">
        <v>4306</v>
      </c>
      <c r="N7" s="1" t="s">
        <v>4307</v>
      </c>
      <c r="O7" s="1" t="s">
        <v>4308</v>
      </c>
      <c r="P7" s="1" t="s">
        <v>4309</v>
      </c>
      <c r="Q7" s="1"/>
      <c r="R7" s="1" t="s">
        <v>4310</v>
      </c>
      <c r="S7" s="1"/>
      <c r="T7" s="1" t="s">
        <v>4311</v>
      </c>
      <c r="U7" s="1" t="s">
        <v>4312</v>
      </c>
      <c r="V7" s="1" t="s">
        <v>4313</v>
      </c>
      <c r="W7" s="1" t="s">
        <v>4314</v>
      </c>
      <c r="X7" s="1" t="s">
        <v>4315</v>
      </c>
      <c r="Y7" s="1" t="s">
        <v>4316</v>
      </c>
      <c r="Z7" s="1" t="s">
        <v>4317</v>
      </c>
      <c r="AA7" s="1" t="s">
        <v>4318</v>
      </c>
      <c r="AB7" s="1" t="s">
        <v>59</v>
      </c>
    </row>
    <row r="8" spans="1:28" ht="45.6">
      <c r="A8" s="1" t="s">
        <v>4319</v>
      </c>
      <c r="B8" s="1" t="s">
        <v>4320</v>
      </c>
      <c r="C8" s="1" t="s">
        <v>4321</v>
      </c>
      <c r="D8" s="1" t="s">
        <v>21</v>
      </c>
      <c r="E8" s="1">
        <v>7</v>
      </c>
      <c r="F8" s="1" t="s">
        <v>4322</v>
      </c>
      <c r="G8" s="1" t="s">
        <v>4323</v>
      </c>
      <c r="H8" s="1" t="s">
        <v>4213</v>
      </c>
      <c r="I8" s="1" t="s">
        <v>4213</v>
      </c>
      <c r="J8" s="1" t="s">
        <v>4213</v>
      </c>
      <c r="K8" s="1" t="s">
        <v>4213</v>
      </c>
      <c r="L8" s="1" t="s">
        <v>4324</v>
      </c>
      <c r="M8" s="1" t="s">
        <v>4325</v>
      </c>
      <c r="N8" s="1" t="s">
        <v>4326</v>
      </c>
      <c r="O8" s="1"/>
      <c r="P8" s="1" t="s">
        <v>4327</v>
      </c>
      <c r="Q8" s="1"/>
      <c r="R8" s="1" t="s">
        <v>4328</v>
      </c>
      <c r="S8" s="1" t="s">
        <v>4329</v>
      </c>
      <c r="T8" s="1" t="s">
        <v>4330</v>
      </c>
      <c r="U8" s="1" t="s">
        <v>4331</v>
      </c>
      <c r="V8" s="1"/>
      <c r="W8" s="1" t="s">
        <v>4332</v>
      </c>
      <c r="X8" s="1"/>
      <c r="Y8" s="1" t="s">
        <v>4333</v>
      </c>
      <c r="Z8" s="1" t="s">
        <v>4334</v>
      </c>
      <c r="AA8" s="1" t="s">
        <v>4335</v>
      </c>
      <c r="AB8" s="1" t="s">
        <v>59</v>
      </c>
    </row>
    <row r="9" spans="1:28" ht="34.200000000000003">
      <c r="A9" s="1" t="s">
        <v>4336</v>
      </c>
      <c r="B9" s="1" t="s">
        <v>4337</v>
      </c>
      <c r="C9" s="1" t="s">
        <v>4338</v>
      </c>
      <c r="D9" s="1" t="s">
        <v>21</v>
      </c>
      <c r="E9" s="1">
        <v>8</v>
      </c>
      <c r="F9" s="1" t="s">
        <v>4339</v>
      </c>
      <c r="G9" s="1" t="s">
        <v>4340</v>
      </c>
      <c r="H9" s="1" t="s">
        <v>4213</v>
      </c>
      <c r="I9" s="1" t="s">
        <v>4213</v>
      </c>
      <c r="J9" s="1" t="s">
        <v>4213</v>
      </c>
      <c r="K9" s="1" t="s">
        <v>4213</v>
      </c>
      <c r="L9" s="1" t="s">
        <v>4324</v>
      </c>
      <c r="M9" s="1" t="s">
        <v>4341</v>
      </c>
      <c r="N9" s="1"/>
      <c r="O9" s="1" t="s">
        <v>4342</v>
      </c>
      <c r="P9" s="1" t="s">
        <v>4343</v>
      </c>
      <c r="Q9" s="1"/>
      <c r="R9" s="1" t="s">
        <v>4344</v>
      </c>
      <c r="S9" s="1" t="s">
        <v>4345</v>
      </c>
      <c r="T9" s="1" t="s">
        <v>4346</v>
      </c>
      <c r="U9" s="1" t="s">
        <v>4347</v>
      </c>
      <c r="V9" s="1" t="s">
        <v>4348</v>
      </c>
      <c r="W9" s="1" t="s">
        <v>4349</v>
      </c>
      <c r="X9" s="1" t="s">
        <v>4350</v>
      </c>
      <c r="Y9" s="1" t="s">
        <v>4351</v>
      </c>
      <c r="Z9" s="1" t="s">
        <v>4352</v>
      </c>
      <c r="AA9" s="1" t="s">
        <v>4353</v>
      </c>
      <c r="AB9" s="1" t="s">
        <v>59</v>
      </c>
    </row>
    <row r="10" spans="1:28" ht="34.200000000000003">
      <c r="A10" s="1" t="s">
        <v>4354</v>
      </c>
      <c r="B10" s="1" t="s">
        <v>4355</v>
      </c>
      <c r="C10" s="1" t="s">
        <v>4356</v>
      </c>
      <c r="D10" s="1" t="s">
        <v>21</v>
      </c>
      <c r="E10" s="1">
        <v>9</v>
      </c>
      <c r="F10" s="1" t="s">
        <v>4357</v>
      </c>
      <c r="G10" s="1" t="s">
        <v>4358</v>
      </c>
      <c r="H10" s="1" t="s">
        <v>4213</v>
      </c>
      <c r="I10" s="1" t="s">
        <v>4213</v>
      </c>
      <c r="J10" s="1" t="s">
        <v>4213</v>
      </c>
      <c r="K10" s="1" t="s">
        <v>4213</v>
      </c>
      <c r="L10" s="1" t="s">
        <v>4213</v>
      </c>
      <c r="M10" s="1" t="s">
        <v>4359</v>
      </c>
      <c r="N10" s="1" t="s">
        <v>4360</v>
      </c>
      <c r="O10" s="1" t="s">
        <v>4361</v>
      </c>
      <c r="P10" s="1" t="s">
        <v>4362</v>
      </c>
      <c r="Q10" s="1"/>
      <c r="R10" s="1" t="s">
        <v>4363</v>
      </c>
      <c r="S10" s="1" t="s">
        <v>4364</v>
      </c>
      <c r="T10" s="1" t="s">
        <v>4365</v>
      </c>
      <c r="U10" s="1" t="s">
        <v>4366</v>
      </c>
      <c r="V10" s="1" t="s">
        <v>4367</v>
      </c>
      <c r="W10" s="1" t="s">
        <v>4368</v>
      </c>
      <c r="X10" s="1"/>
      <c r="Y10" s="1"/>
      <c r="Z10" s="1" t="s">
        <v>4369</v>
      </c>
      <c r="AA10" s="1" t="s">
        <v>4370</v>
      </c>
      <c r="AB10" s="1" t="s">
        <v>59</v>
      </c>
    </row>
    <row r="11" spans="1:28" ht="45.6">
      <c r="A11" s="1" t="s">
        <v>4371</v>
      </c>
      <c r="B11" s="1" t="s">
        <v>4372</v>
      </c>
      <c r="C11" s="1" t="s">
        <v>4372</v>
      </c>
      <c r="D11" s="1" t="s">
        <v>23</v>
      </c>
      <c r="E11" s="1">
        <v>10</v>
      </c>
      <c r="F11" s="1" t="s">
        <v>4373</v>
      </c>
      <c r="G11" s="1" t="s">
        <v>4374</v>
      </c>
      <c r="H11" s="1" t="s">
        <v>4324</v>
      </c>
      <c r="I11" s="1" t="s">
        <v>4213</v>
      </c>
      <c r="J11" s="1" t="s">
        <v>4213</v>
      </c>
      <c r="K11" s="1" t="s">
        <v>4213</v>
      </c>
      <c r="L11" s="1" t="s">
        <v>4213</v>
      </c>
      <c r="M11" s="1" t="s">
        <v>4375</v>
      </c>
      <c r="N11" s="1" t="s">
        <v>4376</v>
      </c>
      <c r="O11" s="1" t="s">
        <v>4377</v>
      </c>
      <c r="P11" s="1" t="s">
        <v>4378</v>
      </c>
      <c r="Q11" s="1"/>
      <c r="R11" s="1" t="s">
        <v>4379</v>
      </c>
      <c r="S11" s="1" t="s">
        <v>4380</v>
      </c>
      <c r="T11" s="1"/>
      <c r="U11" s="1" t="s">
        <v>4381</v>
      </c>
      <c r="V11" s="1" t="s">
        <v>4382</v>
      </c>
      <c r="W11" s="1" t="s">
        <v>4383</v>
      </c>
      <c r="X11" s="1" t="s">
        <v>4384</v>
      </c>
      <c r="Y11" s="1" t="s">
        <v>4385</v>
      </c>
      <c r="Z11" s="1" t="s">
        <v>4386</v>
      </c>
      <c r="AA11" s="1" t="s">
        <v>4387</v>
      </c>
      <c r="AB11" s="1" t="s">
        <v>59</v>
      </c>
    </row>
    <row r="12" spans="1:28" ht="57">
      <c r="A12" s="1" t="s">
        <v>4388</v>
      </c>
      <c r="B12" s="1" t="s">
        <v>4389</v>
      </c>
      <c r="C12" s="1" t="s">
        <v>4390</v>
      </c>
      <c r="D12" s="1" t="s">
        <v>23</v>
      </c>
      <c r="E12" s="1"/>
      <c r="F12" s="1"/>
      <c r="G12" s="1" t="s">
        <v>4391</v>
      </c>
      <c r="H12" s="1" t="s">
        <v>4324</v>
      </c>
      <c r="I12" s="1" t="s">
        <v>4213</v>
      </c>
      <c r="J12" s="1" t="s">
        <v>4213</v>
      </c>
      <c r="K12" s="1" t="s">
        <v>4213</v>
      </c>
      <c r="L12" s="1" t="s">
        <v>4213</v>
      </c>
      <c r="M12" s="1" t="s">
        <v>4392</v>
      </c>
      <c r="N12" s="1" t="s">
        <v>4393</v>
      </c>
      <c r="O12" s="1" t="s">
        <v>4394</v>
      </c>
      <c r="P12" s="1" t="s">
        <v>4395</v>
      </c>
      <c r="Q12" s="1"/>
      <c r="R12" s="1" t="s">
        <v>4396</v>
      </c>
      <c r="S12" s="1" t="s">
        <v>4397</v>
      </c>
      <c r="T12" s="1" t="s">
        <v>4398</v>
      </c>
      <c r="U12" s="1" t="s">
        <v>4399</v>
      </c>
      <c r="V12" s="1" t="s">
        <v>4400</v>
      </c>
      <c r="W12" s="1" t="s">
        <v>4401</v>
      </c>
      <c r="X12" s="1"/>
      <c r="Y12" s="1" t="s">
        <v>4402</v>
      </c>
      <c r="Z12" s="1" t="s">
        <v>4403</v>
      </c>
      <c r="AA12" s="1" t="s">
        <v>4404</v>
      </c>
      <c r="AB12" s="1" t="s">
        <v>59</v>
      </c>
    </row>
    <row r="13" spans="1:28" ht="57">
      <c r="A13" s="1" t="s">
        <v>4405</v>
      </c>
      <c r="B13" s="1" t="s">
        <v>4406</v>
      </c>
      <c r="C13" s="1" t="s">
        <v>4407</v>
      </c>
      <c r="D13" s="1" t="s">
        <v>23</v>
      </c>
      <c r="E13" s="1"/>
      <c r="F13" s="1"/>
      <c r="G13" s="1" t="s">
        <v>4408</v>
      </c>
      <c r="H13" s="1" t="s">
        <v>4213</v>
      </c>
      <c r="I13" s="1" t="s">
        <v>4213</v>
      </c>
      <c r="J13" s="1" t="s">
        <v>4213</v>
      </c>
      <c r="K13" s="1" t="s">
        <v>4324</v>
      </c>
      <c r="L13" s="1" t="s">
        <v>4324</v>
      </c>
      <c r="M13" s="1" t="s">
        <v>4409</v>
      </c>
      <c r="N13" s="1" t="s">
        <v>4410</v>
      </c>
      <c r="O13" s="1" t="s">
        <v>4411</v>
      </c>
      <c r="P13" s="1" t="s">
        <v>4412</v>
      </c>
      <c r="Q13" s="1"/>
      <c r="R13" s="1" t="s">
        <v>4413</v>
      </c>
      <c r="S13" s="1" t="s">
        <v>4414</v>
      </c>
      <c r="T13" s="1" t="s">
        <v>4415</v>
      </c>
      <c r="U13" s="1" t="s">
        <v>4416</v>
      </c>
      <c r="V13" s="1" t="s">
        <v>4417</v>
      </c>
      <c r="W13" s="1" t="s">
        <v>4418</v>
      </c>
      <c r="X13" s="1"/>
      <c r="Y13" s="1"/>
      <c r="Z13" s="1" t="s">
        <v>4419</v>
      </c>
      <c r="AA13" s="1" t="s">
        <v>4420</v>
      </c>
      <c r="AB13" s="1" t="s">
        <v>59</v>
      </c>
    </row>
    <row r="14" spans="1:28" ht="34.200000000000003">
      <c r="A14" s="1" t="s">
        <v>4421</v>
      </c>
      <c r="B14" s="1" t="s">
        <v>4422</v>
      </c>
      <c r="C14" s="1" t="s">
        <v>4423</v>
      </c>
      <c r="D14" s="1" t="s">
        <v>23</v>
      </c>
      <c r="E14" s="1"/>
      <c r="F14" s="1"/>
      <c r="G14" s="1" t="s">
        <v>4424</v>
      </c>
      <c r="H14" s="1" t="s">
        <v>4213</v>
      </c>
      <c r="I14" s="1" t="s">
        <v>4213</v>
      </c>
      <c r="J14" s="1" t="s">
        <v>4213</v>
      </c>
      <c r="K14" s="1" t="s">
        <v>4324</v>
      </c>
      <c r="L14" s="1" t="s">
        <v>4324</v>
      </c>
      <c r="M14" s="1" t="s">
        <v>4325</v>
      </c>
      <c r="N14" s="1" t="s">
        <v>4425</v>
      </c>
      <c r="O14" s="1" t="s">
        <v>4426</v>
      </c>
      <c r="P14" s="1" t="s">
        <v>4427</v>
      </c>
      <c r="Q14" s="1"/>
      <c r="R14" s="1" t="s">
        <v>4428</v>
      </c>
      <c r="S14" s="1"/>
      <c r="T14" s="1" t="s">
        <v>4429</v>
      </c>
      <c r="U14" s="1" t="s">
        <v>4430</v>
      </c>
      <c r="V14" s="1"/>
      <c r="W14" s="1" t="s">
        <v>4431</v>
      </c>
      <c r="X14" s="1"/>
      <c r="Y14" s="1" t="s">
        <v>4432</v>
      </c>
      <c r="Z14" s="1" t="s">
        <v>4433</v>
      </c>
      <c r="AA14" s="1" t="s">
        <v>4434</v>
      </c>
      <c r="AB14" s="1" t="s">
        <v>59</v>
      </c>
    </row>
    <row r="15" spans="1:28" ht="34.200000000000003">
      <c r="A15" s="1" t="s">
        <v>4435</v>
      </c>
      <c r="B15" s="1" t="s">
        <v>4436</v>
      </c>
      <c r="C15" s="1" t="s">
        <v>4437</v>
      </c>
      <c r="D15" s="1" t="s">
        <v>23</v>
      </c>
      <c r="E15" s="1"/>
      <c r="F15" s="1"/>
      <c r="G15" s="1" t="s">
        <v>4438</v>
      </c>
      <c r="H15" s="1" t="s">
        <v>4324</v>
      </c>
      <c r="I15" s="1" t="s">
        <v>4213</v>
      </c>
      <c r="J15" s="1" t="s">
        <v>4213</v>
      </c>
      <c r="K15" s="1" t="s">
        <v>4324</v>
      </c>
      <c r="L15" s="1" t="s">
        <v>4213</v>
      </c>
      <c r="M15" s="1" t="s">
        <v>4439</v>
      </c>
      <c r="N15" s="1"/>
      <c r="O15" s="1" t="s">
        <v>4440</v>
      </c>
      <c r="P15" s="1" t="s">
        <v>4441</v>
      </c>
      <c r="Q15" s="1"/>
      <c r="R15" s="1" t="s">
        <v>4442</v>
      </c>
      <c r="S15" s="1"/>
      <c r="T15" s="1" t="s">
        <v>4443</v>
      </c>
      <c r="U15" s="1" t="s">
        <v>4444</v>
      </c>
      <c r="V15" s="1" t="s">
        <v>4445</v>
      </c>
      <c r="W15" s="1" t="s">
        <v>4446</v>
      </c>
      <c r="X15" s="1" t="s">
        <v>4447</v>
      </c>
      <c r="Y15" s="1" t="s">
        <v>4448</v>
      </c>
      <c r="Z15" s="1" t="s">
        <v>4449</v>
      </c>
      <c r="AA15" s="1" t="s">
        <v>4441</v>
      </c>
      <c r="AB15" s="1" t="s">
        <v>59</v>
      </c>
    </row>
    <row r="16" spans="1:28" ht="159.6">
      <c r="A16" s="1" t="s">
        <v>4450</v>
      </c>
      <c r="B16" s="1" t="s">
        <v>4451</v>
      </c>
      <c r="C16" s="1" t="s">
        <v>4452</v>
      </c>
      <c r="D16" s="1" t="s">
        <v>25</v>
      </c>
      <c r="E16" s="1"/>
      <c r="F16" s="1"/>
      <c r="G16" s="1" t="s">
        <v>4453</v>
      </c>
      <c r="H16" s="1" t="s">
        <v>4324</v>
      </c>
      <c r="I16" s="1" t="s">
        <v>4324</v>
      </c>
      <c r="J16" s="1" t="s">
        <v>4213</v>
      </c>
      <c r="K16" s="1" t="s">
        <v>4324</v>
      </c>
      <c r="L16" s="1" t="s">
        <v>4324</v>
      </c>
      <c r="M16" s="1" t="s">
        <v>4454</v>
      </c>
      <c r="N16" s="1"/>
      <c r="O16" s="1" t="s">
        <v>4455</v>
      </c>
      <c r="P16" s="1" t="s">
        <v>4456</v>
      </c>
      <c r="Q16" s="1"/>
      <c r="R16" s="1" t="s">
        <v>4457</v>
      </c>
      <c r="S16" s="1"/>
      <c r="T16" s="1"/>
      <c r="U16" s="1" t="s">
        <v>4458</v>
      </c>
      <c r="V16" s="1"/>
      <c r="W16" s="1" t="s">
        <v>2786</v>
      </c>
      <c r="X16" s="1"/>
      <c r="Y16" s="1"/>
      <c r="Z16" s="1" t="s">
        <v>4459</v>
      </c>
      <c r="AA16" s="1" t="s">
        <v>4460</v>
      </c>
      <c r="AB16" s="1" t="s">
        <v>59</v>
      </c>
    </row>
    <row r="17" spans="1:28" ht="45.6">
      <c r="A17" s="1" t="s">
        <v>4461</v>
      </c>
      <c r="B17" s="1" t="s">
        <v>4462</v>
      </c>
      <c r="C17" s="1" t="s">
        <v>4463</v>
      </c>
      <c r="D17" s="1" t="s">
        <v>25</v>
      </c>
      <c r="E17" s="1"/>
      <c r="F17" s="1"/>
      <c r="G17" s="1" t="s">
        <v>4464</v>
      </c>
      <c r="H17" s="1" t="s">
        <v>4213</v>
      </c>
      <c r="I17" s="1" t="s">
        <v>4213</v>
      </c>
      <c r="J17" s="1" t="s">
        <v>4213</v>
      </c>
      <c r="K17" s="1" t="s">
        <v>4465</v>
      </c>
      <c r="L17" s="1" t="s">
        <v>4324</v>
      </c>
      <c r="M17" s="1" t="s">
        <v>4466</v>
      </c>
      <c r="N17" s="1" t="s">
        <v>4467</v>
      </c>
      <c r="O17" s="1"/>
      <c r="P17" s="1" t="s">
        <v>4468</v>
      </c>
      <c r="Q17" s="1"/>
      <c r="R17" s="1" t="s">
        <v>4469</v>
      </c>
      <c r="S17" s="1"/>
      <c r="T17" s="1" t="s">
        <v>4470</v>
      </c>
      <c r="U17" s="1" t="s">
        <v>4471</v>
      </c>
      <c r="V17" s="1"/>
      <c r="W17" s="1" t="s">
        <v>4472</v>
      </c>
      <c r="X17" s="1" t="s">
        <v>4473</v>
      </c>
      <c r="Y17" s="1"/>
      <c r="Z17" s="1" t="s">
        <v>4474</v>
      </c>
      <c r="AA17" s="1" t="s">
        <v>4475</v>
      </c>
      <c r="AB17" s="1" t="s">
        <v>59</v>
      </c>
    </row>
    <row r="18" spans="1:28" ht="79.8">
      <c r="A18" s="1" t="s">
        <v>4476</v>
      </c>
      <c r="B18" s="1" t="s">
        <v>4477</v>
      </c>
      <c r="C18" s="1" t="s">
        <v>4478</v>
      </c>
      <c r="D18" s="1" t="s">
        <v>25</v>
      </c>
      <c r="E18" s="1"/>
      <c r="F18" s="1"/>
      <c r="G18" s="1" t="s">
        <v>4479</v>
      </c>
      <c r="H18" s="1" t="s">
        <v>4324</v>
      </c>
      <c r="I18" s="1" t="s">
        <v>4324</v>
      </c>
      <c r="J18" s="1" t="s">
        <v>4213</v>
      </c>
      <c r="K18" s="1" t="s">
        <v>4324</v>
      </c>
      <c r="L18" s="1" t="s">
        <v>4213</v>
      </c>
      <c r="M18" s="1" t="s">
        <v>4480</v>
      </c>
      <c r="N18" s="1" t="s">
        <v>4481</v>
      </c>
      <c r="O18" s="1" t="s">
        <v>4482</v>
      </c>
      <c r="P18" s="1" t="s">
        <v>4483</v>
      </c>
      <c r="Q18" s="1"/>
      <c r="R18" s="1" t="s">
        <v>4484</v>
      </c>
      <c r="S18" s="1"/>
      <c r="T18" s="1" t="s">
        <v>4485</v>
      </c>
      <c r="U18" s="1"/>
      <c r="V18" s="1" t="s">
        <v>4486</v>
      </c>
      <c r="W18" s="1" t="s">
        <v>4487</v>
      </c>
      <c r="X18" s="1"/>
      <c r="Y18" s="1" t="s">
        <v>4488</v>
      </c>
      <c r="Z18" s="1" t="s">
        <v>4489</v>
      </c>
      <c r="AA18" s="1" t="s">
        <v>4490</v>
      </c>
      <c r="AB18" s="1" t="s">
        <v>59</v>
      </c>
    </row>
    <row r="19" spans="1:28" ht="114">
      <c r="A19" s="1" t="s">
        <v>4491</v>
      </c>
      <c r="B19" s="1" t="s">
        <v>4492</v>
      </c>
      <c r="C19" s="1" t="s">
        <v>4493</v>
      </c>
      <c r="D19" s="1" t="s">
        <v>25</v>
      </c>
      <c r="E19" s="1"/>
      <c r="F19" s="1"/>
      <c r="G19" s="1" t="s">
        <v>4494</v>
      </c>
      <c r="H19" s="1" t="s">
        <v>4324</v>
      </c>
      <c r="I19" s="1" t="s">
        <v>4213</v>
      </c>
      <c r="J19" s="1" t="s">
        <v>4213</v>
      </c>
      <c r="K19" s="1" t="s">
        <v>4324</v>
      </c>
      <c r="L19" s="1" t="s">
        <v>4324</v>
      </c>
      <c r="M19" s="1" t="s">
        <v>4495</v>
      </c>
      <c r="N19" s="1"/>
      <c r="O19" s="1" t="s">
        <v>4496</v>
      </c>
      <c r="P19" s="1" t="s">
        <v>4497</v>
      </c>
      <c r="Q19" s="1"/>
      <c r="R19" s="1" t="s">
        <v>4498</v>
      </c>
      <c r="S19" s="1"/>
      <c r="T19" s="1" t="s">
        <v>4499</v>
      </c>
      <c r="U19" s="1" t="s">
        <v>4500</v>
      </c>
      <c r="V19" s="1"/>
      <c r="W19" s="1" t="s">
        <v>4501</v>
      </c>
      <c r="X19" s="1"/>
      <c r="Y19" s="1"/>
      <c r="Z19" s="1" t="s">
        <v>4502</v>
      </c>
      <c r="AA19" s="1" t="s">
        <v>4503</v>
      </c>
      <c r="AB19" s="1" t="s">
        <v>59</v>
      </c>
    </row>
    <row r="20" spans="1:28" ht="45.6">
      <c r="A20" s="1" t="s">
        <v>4504</v>
      </c>
      <c r="B20" s="1" t="s">
        <v>4505</v>
      </c>
      <c r="C20" s="1" t="s">
        <v>4506</v>
      </c>
      <c r="D20" s="1" t="s">
        <v>25</v>
      </c>
      <c r="E20" s="1"/>
      <c r="F20" s="1"/>
      <c r="G20" s="1" t="s">
        <v>4507</v>
      </c>
      <c r="H20" s="1" t="s">
        <v>4324</v>
      </c>
      <c r="I20" s="1" t="s">
        <v>4324</v>
      </c>
      <c r="J20" s="1" t="s">
        <v>4213</v>
      </c>
      <c r="K20" s="1" t="s">
        <v>4324</v>
      </c>
      <c r="L20" s="1" t="s">
        <v>4324</v>
      </c>
      <c r="M20" s="1" t="s">
        <v>4508</v>
      </c>
      <c r="N20" s="1" t="s">
        <v>4509</v>
      </c>
      <c r="O20" s="1" t="s">
        <v>4510</v>
      </c>
      <c r="P20" s="1" t="s">
        <v>4511</v>
      </c>
      <c r="Q20" s="1"/>
      <c r="R20" s="1" t="s">
        <v>4512</v>
      </c>
      <c r="S20" s="1"/>
      <c r="T20" s="1"/>
      <c r="U20" s="1"/>
      <c r="V20" s="1"/>
      <c r="W20" s="1" t="s">
        <v>4513</v>
      </c>
      <c r="X20" s="1"/>
      <c r="Y20" s="1"/>
      <c r="Z20" s="1" t="s">
        <v>4514</v>
      </c>
      <c r="AA20" s="1" t="s">
        <v>4515</v>
      </c>
      <c r="AB20" s="1" t="s">
        <v>59</v>
      </c>
    </row>
    <row r="21" spans="1:28" ht="57">
      <c r="A21" s="1" t="s">
        <v>4516</v>
      </c>
      <c r="B21" s="1" t="s">
        <v>4517</v>
      </c>
      <c r="C21" s="1" t="s">
        <v>4518</v>
      </c>
      <c r="D21" s="1" t="s">
        <v>25</v>
      </c>
      <c r="E21" s="1"/>
      <c r="F21" s="1"/>
      <c r="G21" s="1" t="s">
        <v>4519</v>
      </c>
      <c r="H21" s="1" t="s">
        <v>4324</v>
      </c>
      <c r="I21" s="1" t="s">
        <v>4213</v>
      </c>
      <c r="J21" s="1" t="s">
        <v>4213</v>
      </c>
      <c r="K21" s="1" t="s">
        <v>4324</v>
      </c>
      <c r="L21" s="1" t="s">
        <v>4324</v>
      </c>
      <c r="M21" s="1" t="s">
        <v>4520</v>
      </c>
      <c r="N21" s="1"/>
      <c r="O21" s="1"/>
      <c r="P21" s="1" t="s">
        <v>4521</v>
      </c>
      <c r="Q21" s="1"/>
      <c r="R21" s="1" t="s">
        <v>4522</v>
      </c>
      <c r="S21" s="1"/>
      <c r="T21" s="1"/>
      <c r="U21" s="1" t="s">
        <v>4500</v>
      </c>
      <c r="V21" s="1"/>
      <c r="W21" s="1" t="s">
        <v>4523</v>
      </c>
      <c r="X21" s="1"/>
      <c r="Y21" s="1"/>
      <c r="Z21" s="1" t="s">
        <v>4524</v>
      </c>
      <c r="AA21" s="1" t="s">
        <v>4525</v>
      </c>
      <c r="AB21" s="1" t="s">
        <v>59</v>
      </c>
    </row>
    <row r="22" spans="1:28" ht="45.6">
      <c r="A22" s="1" t="s">
        <v>4526</v>
      </c>
      <c r="B22" s="1" t="s">
        <v>4527</v>
      </c>
      <c r="C22" s="1" t="s">
        <v>4528</v>
      </c>
      <c r="D22" s="1" t="s">
        <v>25</v>
      </c>
      <c r="E22" s="1"/>
      <c r="F22" s="1"/>
      <c r="G22" s="1" t="s">
        <v>4529</v>
      </c>
      <c r="H22" s="1" t="s">
        <v>4324</v>
      </c>
      <c r="I22" s="1" t="s">
        <v>4324</v>
      </c>
      <c r="J22" s="1" t="s">
        <v>4213</v>
      </c>
      <c r="K22" s="1" t="s">
        <v>4324</v>
      </c>
      <c r="L22" s="1" t="s">
        <v>4324</v>
      </c>
      <c r="M22" s="1" t="s">
        <v>4530</v>
      </c>
      <c r="N22" s="1"/>
      <c r="O22" s="1"/>
      <c r="P22" s="1" t="s">
        <v>4531</v>
      </c>
      <c r="Q22" s="1"/>
      <c r="R22" s="1" t="s">
        <v>4532</v>
      </c>
      <c r="S22" s="1"/>
      <c r="T22" s="1"/>
      <c r="U22" s="1" t="s">
        <v>4533</v>
      </c>
      <c r="V22" s="1"/>
      <c r="W22" s="1" t="s">
        <v>4534</v>
      </c>
      <c r="X22" s="1"/>
      <c r="Y22" s="1"/>
      <c r="Z22" s="1" t="s">
        <v>4535</v>
      </c>
      <c r="AA22" s="1" t="s">
        <v>4536</v>
      </c>
      <c r="AB22" s="1" t="s">
        <v>59</v>
      </c>
    </row>
  </sheetData>
  <conditionalFormatting sqref="D2:D22">
    <cfRule type="containsText" dxfId="3" priority="1" operator="containsText" text="A"/>
    <cfRule type="containsText" dxfId="2" priority="2" operator="containsText" text="B"/>
    <cfRule type="containsText" dxfId="1" priority="3" operator="containsText" text="C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8"/>
  <sheetViews>
    <sheetView showGridLines="0" workbookViewId="0">
      <selection sqref="A1:G2"/>
    </sheetView>
  </sheetViews>
  <sheetFormatPr defaultRowHeight="13.8"/>
  <cols>
    <col min="1" max="1" width="32" customWidth="1"/>
    <col min="2" max="2" width="14" customWidth="1"/>
    <col min="3" max="3" width="18" customWidth="1"/>
    <col min="4" max="4" width="16" customWidth="1"/>
    <col min="5" max="5" width="18" customWidth="1"/>
    <col min="6" max="6" width="42" customWidth="1"/>
    <col min="7" max="7" width="50" customWidth="1"/>
  </cols>
  <sheetData>
    <row r="1" spans="1:7">
      <c r="A1" s="7" t="s">
        <v>4537</v>
      </c>
      <c r="B1" s="7" t="s">
        <v>4537</v>
      </c>
      <c r="C1" s="7" t="s">
        <v>4537</v>
      </c>
      <c r="D1" s="7" t="s">
        <v>4537</v>
      </c>
      <c r="E1" s="7" t="s">
        <v>4537</v>
      </c>
      <c r="F1" s="7" t="s">
        <v>4537</v>
      </c>
      <c r="G1" s="7" t="s">
        <v>4537</v>
      </c>
    </row>
    <row r="2" spans="1:7">
      <c r="A2" s="7" t="s">
        <v>4537</v>
      </c>
      <c r="B2" s="7" t="s">
        <v>4537</v>
      </c>
      <c r="C2" s="7" t="s">
        <v>4537</v>
      </c>
      <c r="D2" s="7" t="s">
        <v>4537</v>
      </c>
      <c r="E2" s="7" t="s">
        <v>4537</v>
      </c>
      <c r="F2" s="7" t="s">
        <v>4537</v>
      </c>
      <c r="G2" s="7" t="s">
        <v>4537</v>
      </c>
    </row>
    <row r="3" spans="1:7">
      <c r="A3" s="28" t="s">
        <v>4538</v>
      </c>
      <c r="B3" s="28" t="s">
        <v>4538</v>
      </c>
      <c r="C3" s="28" t="s">
        <v>4538</v>
      </c>
      <c r="D3" s="28" t="s">
        <v>4538</v>
      </c>
      <c r="E3" s="28" t="s">
        <v>4538</v>
      </c>
      <c r="F3" s="28" t="s">
        <v>4538</v>
      </c>
      <c r="G3" s="28" t="s">
        <v>4538</v>
      </c>
    </row>
    <row r="4" spans="1:7">
      <c r="A4" s="5"/>
      <c r="B4" s="5"/>
      <c r="C4" s="5"/>
      <c r="D4" s="5"/>
      <c r="E4" s="5"/>
      <c r="F4" s="5"/>
      <c r="G4" s="5"/>
    </row>
    <row r="5" spans="1:7">
      <c r="A5" s="25" t="s">
        <v>4539</v>
      </c>
      <c r="B5" s="25" t="s">
        <v>4539</v>
      </c>
      <c r="C5" s="25" t="s">
        <v>4539</v>
      </c>
      <c r="D5" s="25" t="s">
        <v>4539</v>
      </c>
      <c r="E5" s="25" t="s">
        <v>4539</v>
      </c>
      <c r="F5" s="25" t="s">
        <v>4539</v>
      </c>
      <c r="G5" s="25" t="s">
        <v>4539</v>
      </c>
    </row>
    <row r="6" spans="1:7">
      <c r="A6" s="6" t="s">
        <v>4540</v>
      </c>
      <c r="B6" s="6" t="s">
        <v>4541</v>
      </c>
      <c r="C6" s="6" t="s">
        <v>4542</v>
      </c>
      <c r="D6" s="6" t="s">
        <v>4543</v>
      </c>
      <c r="E6" s="6" t="s">
        <v>4544</v>
      </c>
      <c r="F6" s="6" t="s">
        <v>4545</v>
      </c>
      <c r="G6" s="6" t="s">
        <v>4546</v>
      </c>
    </row>
    <row r="7" spans="1:7" ht="22.8">
      <c r="A7" s="1" t="s">
        <v>4547</v>
      </c>
      <c r="B7" s="1">
        <v>4962</v>
      </c>
      <c r="C7" s="1" t="s">
        <v>4548</v>
      </c>
      <c r="D7" s="1" t="s">
        <v>4549</v>
      </c>
      <c r="E7" s="1" t="s">
        <v>4550</v>
      </c>
      <c r="F7" s="1" t="s">
        <v>4551</v>
      </c>
      <c r="G7" s="1" t="s">
        <v>4552</v>
      </c>
    </row>
    <row r="8" spans="1:7" ht="22.8">
      <c r="A8" s="1" t="s">
        <v>4553</v>
      </c>
      <c r="B8" s="1">
        <v>1310681</v>
      </c>
      <c r="C8" s="1" t="s">
        <v>4554</v>
      </c>
      <c r="D8" s="1" t="s">
        <v>4555</v>
      </c>
      <c r="E8" s="1" t="s">
        <v>4550</v>
      </c>
      <c r="F8" s="1" t="s">
        <v>4556</v>
      </c>
      <c r="G8" s="1" t="s">
        <v>4557</v>
      </c>
    </row>
    <row r="9" spans="1:7" ht="34.200000000000003">
      <c r="A9" s="1" t="s">
        <v>4558</v>
      </c>
      <c r="B9" s="1">
        <v>3135</v>
      </c>
      <c r="C9" s="1" t="s">
        <v>4548</v>
      </c>
      <c r="D9" s="1" t="s">
        <v>4549</v>
      </c>
      <c r="E9" s="1" t="s">
        <v>4550</v>
      </c>
      <c r="F9" s="1" t="s">
        <v>4559</v>
      </c>
      <c r="G9" s="1" t="s">
        <v>4552</v>
      </c>
    </row>
    <row r="10" spans="1:7" ht="34.200000000000003">
      <c r="A10" s="1" t="s">
        <v>4560</v>
      </c>
      <c r="B10" s="1">
        <v>337</v>
      </c>
      <c r="C10" s="1" t="s">
        <v>4548</v>
      </c>
      <c r="D10" s="1" t="s">
        <v>4549</v>
      </c>
      <c r="E10" s="1" t="s">
        <v>4550</v>
      </c>
      <c r="F10" s="1" t="s">
        <v>4561</v>
      </c>
      <c r="G10" s="1" t="s">
        <v>4562</v>
      </c>
    </row>
    <row r="11" spans="1:7" ht="34.200000000000003">
      <c r="A11" s="1" t="s">
        <v>4563</v>
      </c>
      <c r="B11" s="1">
        <v>424</v>
      </c>
      <c r="C11" s="1" t="s">
        <v>4564</v>
      </c>
      <c r="D11" s="1" t="s">
        <v>4549</v>
      </c>
      <c r="E11" s="1" t="s">
        <v>4550</v>
      </c>
      <c r="F11" s="1" t="s">
        <v>4565</v>
      </c>
      <c r="G11" s="1" t="s">
        <v>4552</v>
      </c>
    </row>
    <row r="12" spans="1:7" ht="45.6">
      <c r="A12" s="1" t="s">
        <v>4566</v>
      </c>
      <c r="B12" s="1">
        <v>17</v>
      </c>
      <c r="C12" s="1" t="s">
        <v>4567</v>
      </c>
      <c r="D12" s="1" t="s">
        <v>4549</v>
      </c>
      <c r="E12" s="1" t="s">
        <v>4550</v>
      </c>
      <c r="F12" s="1" t="s">
        <v>4568</v>
      </c>
      <c r="G12" s="1" t="s">
        <v>4552</v>
      </c>
    </row>
    <row r="13" spans="1:7" ht="22.8">
      <c r="A13" s="1" t="s">
        <v>4569</v>
      </c>
      <c r="B13" s="1">
        <v>713</v>
      </c>
      <c r="C13" s="1" t="s">
        <v>4570</v>
      </c>
      <c r="D13" s="1" t="s">
        <v>4549</v>
      </c>
      <c r="E13" s="1" t="s">
        <v>4550</v>
      </c>
      <c r="F13" s="1" t="s">
        <v>4571</v>
      </c>
      <c r="G13" s="1" t="s">
        <v>4552</v>
      </c>
    </row>
    <row r="14" spans="1:7" ht="34.200000000000003">
      <c r="A14" s="1" t="s">
        <v>4572</v>
      </c>
      <c r="B14" s="1"/>
      <c r="C14" s="1"/>
      <c r="D14" s="1" t="s">
        <v>4573</v>
      </c>
      <c r="E14" s="1" t="s">
        <v>4550</v>
      </c>
      <c r="F14" s="1" t="s">
        <v>4574</v>
      </c>
      <c r="G14" s="1" t="s">
        <v>4575</v>
      </c>
    </row>
    <row r="15" spans="1:7" ht="34.200000000000003">
      <c r="A15" s="1" t="s">
        <v>4576</v>
      </c>
      <c r="B15" s="1"/>
      <c r="C15" s="1"/>
      <c r="D15" s="1" t="s">
        <v>4577</v>
      </c>
      <c r="E15" s="1" t="s">
        <v>4550</v>
      </c>
      <c r="F15" s="1" t="s">
        <v>4578</v>
      </c>
      <c r="G15" s="1" t="s">
        <v>4579</v>
      </c>
    </row>
    <row r="16" spans="1:7" ht="34.200000000000003">
      <c r="A16" s="1" t="s">
        <v>4580</v>
      </c>
      <c r="B16" s="1"/>
      <c r="C16" s="1"/>
      <c r="D16" s="1" t="s">
        <v>4581</v>
      </c>
      <c r="E16" s="1" t="s">
        <v>4550</v>
      </c>
      <c r="F16" s="1" t="s">
        <v>4582</v>
      </c>
      <c r="G16" s="1" t="s">
        <v>4583</v>
      </c>
    </row>
    <row r="17" spans="1:7">
      <c r="A17" s="5"/>
      <c r="B17" s="5"/>
      <c r="C17" s="5"/>
      <c r="D17" s="5"/>
      <c r="E17" s="5"/>
      <c r="F17" s="5"/>
      <c r="G17" s="5"/>
    </row>
    <row r="18" spans="1:7">
      <c r="A18" s="25" t="s">
        <v>4584</v>
      </c>
      <c r="B18" s="25" t="s">
        <v>4584</v>
      </c>
      <c r="C18" s="25" t="s">
        <v>4584</v>
      </c>
      <c r="D18" s="25" t="s">
        <v>4584</v>
      </c>
      <c r="E18" s="25" t="s">
        <v>4584</v>
      </c>
      <c r="F18" s="25" t="s">
        <v>4584</v>
      </c>
      <c r="G18" s="25" t="s">
        <v>4584</v>
      </c>
    </row>
    <row r="19" spans="1:7" ht="27.6">
      <c r="A19" s="6" t="s">
        <v>4585</v>
      </c>
      <c r="B19" s="6" t="s">
        <v>4541</v>
      </c>
      <c r="C19" s="6" t="s">
        <v>4586</v>
      </c>
      <c r="D19" s="6" t="s">
        <v>4587</v>
      </c>
      <c r="E19" s="5"/>
      <c r="F19" s="6" t="s">
        <v>4588</v>
      </c>
      <c r="G19" s="6" t="s">
        <v>4541</v>
      </c>
    </row>
    <row r="20" spans="1:7" ht="57">
      <c r="A20" s="1" t="s">
        <v>4589</v>
      </c>
      <c r="B20" s="1">
        <v>1172</v>
      </c>
      <c r="C20" s="1" t="s">
        <v>4590</v>
      </c>
      <c r="D20" s="1" t="s">
        <v>4591</v>
      </c>
      <c r="E20" s="5"/>
      <c r="F20" s="1" t="s">
        <v>4592</v>
      </c>
      <c r="G20" s="4">
        <f>B20</f>
        <v>1172</v>
      </c>
    </row>
    <row r="21" spans="1:7" ht="57">
      <c r="A21" s="1" t="s">
        <v>4593</v>
      </c>
      <c r="B21" s="1">
        <v>2769</v>
      </c>
      <c r="C21" s="1" t="s">
        <v>4594</v>
      </c>
      <c r="D21" s="1" t="s">
        <v>4595</v>
      </c>
      <c r="E21" s="5"/>
      <c r="F21" s="1" t="s">
        <v>4596</v>
      </c>
      <c r="G21" s="4">
        <f>B21</f>
        <v>2769</v>
      </c>
    </row>
    <row r="22" spans="1:7" ht="68.400000000000006">
      <c r="A22" s="1" t="s">
        <v>4597</v>
      </c>
      <c r="B22" s="1">
        <v>4962</v>
      </c>
      <c r="C22" s="1" t="s">
        <v>4598</v>
      </c>
      <c r="D22" s="1" t="s">
        <v>4599</v>
      </c>
      <c r="E22" s="5"/>
      <c r="F22" s="1" t="s">
        <v>4600</v>
      </c>
      <c r="G22" s="4">
        <f>B22</f>
        <v>4962</v>
      </c>
    </row>
    <row r="23" spans="1:7">
      <c r="A23" s="5"/>
      <c r="B23" s="5"/>
      <c r="C23" s="5"/>
      <c r="D23" s="5"/>
      <c r="E23" s="5"/>
      <c r="F23" s="5"/>
      <c r="G23" s="5"/>
    </row>
    <row r="24" spans="1:7">
      <c r="A24" s="25" t="s">
        <v>4601</v>
      </c>
      <c r="B24" s="25" t="s">
        <v>4601</v>
      </c>
      <c r="C24" s="25" t="s">
        <v>4601</v>
      </c>
      <c r="D24" s="25" t="s">
        <v>4601</v>
      </c>
      <c r="E24" s="25" t="s">
        <v>4601</v>
      </c>
      <c r="F24" s="25" t="s">
        <v>4601</v>
      </c>
      <c r="G24" s="25" t="s">
        <v>4601</v>
      </c>
    </row>
    <row r="25" spans="1:7" ht="27.6">
      <c r="A25" s="6" t="s">
        <v>38</v>
      </c>
      <c r="B25" s="6" t="s">
        <v>4602</v>
      </c>
      <c r="C25" s="6"/>
      <c r="D25" s="6"/>
      <c r="E25" s="6"/>
      <c r="F25" s="6"/>
      <c r="G25" s="6" t="s">
        <v>4603</v>
      </c>
    </row>
    <row r="26" spans="1:7" ht="45.6">
      <c r="A26" s="1" t="s">
        <v>4604</v>
      </c>
      <c r="B26" s="27" t="s">
        <v>4605</v>
      </c>
      <c r="C26" s="27"/>
      <c r="D26" s="27"/>
      <c r="E26" s="27"/>
      <c r="F26" s="27"/>
      <c r="G26" s="1" t="s">
        <v>4606</v>
      </c>
    </row>
    <row r="27" spans="1:7" ht="34.200000000000003">
      <c r="A27" s="1" t="s">
        <v>4604</v>
      </c>
      <c r="B27" s="27" t="s">
        <v>4607</v>
      </c>
      <c r="C27" s="27"/>
      <c r="D27" s="27"/>
      <c r="E27" s="27"/>
      <c r="F27" s="27"/>
      <c r="G27" s="1" t="s">
        <v>4608</v>
      </c>
    </row>
    <row r="28" spans="1:7" ht="22.8">
      <c r="A28" s="1" t="s">
        <v>4604</v>
      </c>
      <c r="B28" s="27" t="s">
        <v>4609</v>
      </c>
      <c r="C28" s="27"/>
      <c r="D28" s="27"/>
      <c r="E28" s="27"/>
      <c r="F28" s="27"/>
      <c r="G28" s="1" t="s">
        <v>4610</v>
      </c>
    </row>
    <row r="29" spans="1:7" ht="34.200000000000003">
      <c r="A29" s="1" t="s">
        <v>4604</v>
      </c>
      <c r="B29" s="27" t="s">
        <v>4611</v>
      </c>
      <c r="C29" s="27"/>
      <c r="D29" s="27"/>
      <c r="E29" s="27"/>
      <c r="F29" s="27"/>
      <c r="G29" s="1" t="s">
        <v>4612</v>
      </c>
    </row>
    <row r="30" spans="1:7">
      <c r="A30" s="1" t="s">
        <v>4324</v>
      </c>
      <c r="B30" s="27" t="s">
        <v>4613</v>
      </c>
      <c r="C30" s="27"/>
      <c r="D30" s="27"/>
      <c r="E30" s="27"/>
      <c r="F30" s="27"/>
      <c r="G30" s="1" t="s">
        <v>4614</v>
      </c>
    </row>
    <row r="31" spans="1:7">
      <c r="A31" s="1" t="s">
        <v>4324</v>
      </c>
      <c r="B31" s="27" t="s">
        <v>4615</v>
      </c>
      <c r="C31" s="27"/>
      <c r="D31" s="27"/>
      <c r="E31" s="27"/>
      <c r="F31" s="27"/>
      <c r="G31" s="1" t="s">
        <v>4614</v>
      </c>
    </row>
    <row r="32" spans="1:7">
      <c r="A32" s="1" t="s">
        <v>4324</v>
      </c>
      <c r="B32" s="27" t="s">
        <v>4616</v>
      </c>
      <c r="C32" s="27"/>
      <c r="D32" s="27"/>
      <c r="E32" s="27"/>
      <c r="F32" s="27"/>
      <c r="G32" s="1" t="s">
        <v>4614</v>
      </c>
    </row>
    <row r="33" spans="1:7">
      <c r="A33" s="1" t="s">
        <v>4324</v>
      </c>
      <c r="B33" s="27" t="s">
        <v>4617</v>
      </c>
      <c r="C33" s="27"/>
      <c r="D33" s="27"/>
      <c r="E33" s="27"/>
      <c r="F33" s="27"/>
      <c r="G33" s="1" t="s">
        <v>4614</v>
      </c>
    </row>
    <row r="34" spans="1:7">
      <c r="A34" s="1" t="s">
        <v>4324</v>
      </c>
      <c r="B34" s="27" t="s">
        <v>4618</v>
      </c>
      <c r="C34" s="27"/>
      <c r="D34" s="27"/>
      <c r="E34" s="27"/>
      <c r="F34" s="27"/>
      <c r="G34" s="1" t="s">
        <v>4614</v>
      </c>
    </row>
    <row r="35" spans="1:7">
      <c r="A35" s="1" t="s">
        <v>4324</v>
      </c>
      <c r="B35" s="27" t="s">
        <v>4619</v>
      </c>
      <c r="C35" s="27"/>
      <c r="D35" s="27"/>
      <c r="E35" s="27"/>
      <c r="F35" s="27"/>
      <c r="G35" s="1" t="s">
        <v>4614</v>
      </c>
    </row>
    <row r="36" spans="1:7">
      <c r="A36" s="1" t="s">
        <v>4324</v>
      </c>
      <c r="B36" s="27" t="s">
        <v>4620</v>
      </c>
      <c r="C36" s="27"/>
      <c r="D36" s="27"/>
      <c r="E36" s="27"/>
      <c r="F36" s="27"/>
      <c r="G36" s="1" t="s">
        <v>4614</v>
      </c>
    </row>
    <row r="37" spans="1:7">
      <c r="A37" s="1" t="s">
        <v>4324</v>
      </c>
      <c r="B37" s="27" t="s">
        <v>4621</v>
      </c>
      <c r="C37" s="27"/>
      <c r="D37" s="27"/>
      <c r="E37" s="27"/>
      <c r="F37" s="27"/>
      <c r="G37" s="1" t="s">
        <v>4614</v>
      </c>
    </row>
    <row r="38" spans="1:7">
      <c r="A38" s="1" t="s">
        <v>4324</v>
      </c>
      <c r="B38" s="27" t="s">
        <v>4622</v>
      </c>
      <c r="C38" s="27"/>
      <c r="D38" s="27"/>
      <c r="E38" s="27"/>
      <c r="F38" s="27"/>
      <c r="G38" s="1" t="s">
        <v>4614</v>
      </c>
    </row>
  </sheetData>
  <mergeCells count="18">
    <mergeCell ref="B36:F36"/>
    <mergeCell ref="B37:F37"/>
    <mergeCell ref="B38:F38"/>
    <mergeCell ref="B31:F31"/>
    <mergeCell ref="B32:F32"/>
    <mergeCell ref="B33:F33"/>
    <mergeCell ref="B34:F34"/>
    <mergeCell ref="B35:F35"/>
    <mergeCell ref="B26:F26"/>
    <mergeCell ref="B27:F27"/>
    <mergeCell ref="B28:F28"/>
    <mergeCell ref="B29:F29"/>
    <mergeCell ref="B30:F30"/>
    <mergeCell ref="A1:G2"/>
    <mergeCell ref="A3:G3"/>
    <mergeCell ref="A5:G5"/>
    <mergeCell ref="A18:G18"/>
    <mergeCell ref="A24:G24"/>
  </mergeCells>
  <conditionalFormatting sqref="A26:A38">
    <cfRule type="containsText" dxfId="0" priority="1" operator="containsText" text="Конфликт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9"/>
  <sheetViews>
    <sheetView showGridLines="0" workbookViewId="0"/>
  </sheetViews>
  <sheetFormatPr defaultRowHeight="13.8"/>
  <cols>
    <col min="1" max="1" width="11" customWidth="1"/>
    <col min="2" max="2" width="20" customWidth="1"/>
    <col min="3" max="3" width="28" customWidth="1"/>
    <col min="4" max="4" width="55" customWidth="1"/>
    <col min="5" max="5" width="48" customWidth="1"/>
    <col min="6" max="6" width="14" customWidth="1"/>
    <col min="7" max="7" width="22" customWidth="1"/>
    <col min="8" max="8" width="48" customWidth="1"/>
  </cols>
  <sheetData>
    <row r="1" spans="1:8" ht="27.6">
      <c r="A1" s="6" t="s">
        <v>34</v>
      </c>
      <c r="B1" s="6" t="s">
        <v>4623</v>
      </c>
      <c r="C1" s="6" t="s">
        <v>4624</v>
      </c>
      <c r="D1" s="6" t="s">
        <v>4625</v>
      </c>
      <c r="E1" s="6" t="s">
        <v>4626</v>
      </c>
      <c r="F1" s="6" t="s">
        <v>49</v>
      </c>
      <c r="G1" s="6" t="s">
        <v>4544</v>
      </c>
      <c r="H1" s="6" t="s">
        <v>52</v>
      </c>
    </row>
    <row r="2" spans="1:8" ht="34.200000000000003">
      <c r="A2" s="1" t="s">
        <v>4627</v>
      </c>
      <c r="B2" s="1" t="s">
        <v>4628</v>
      </c>
      <c r="C2" s="1" t="s">
        <v>4629</v>
      </c>
      <c r="D2" s="1" t="s">
        <v>4552</v>
      </c>
      <c r="E2" s="1" t="s">
        <v>4547</v>
      </c>
      <c r="F2" s="1" t="s">
        <v>59</v>
      </c>
      <c r="G2" s="1" t="s">
        <v>4550</v>
      </c>
      <c r="H2" s="1" t="s">
        <v>4551</v>
      </c>
    </row>
    <row r="3" spans="1:8" ht="22.8">
      <c r="A3" s="1" t="s">
        <v>4630</v>
      </c>
      <c r="B3" s="1" t="s">
        <v>4628</v>
      </c>
      <c r="C3" s="1" t="s">
        <v>4631</v>
      </c>
      <c r="D3" s="1" t="s">
        <v>4557</v>
      </c>
      <c r="E3" s="1" t="s">
        <v>4553</v>
      </c>
      <c r="F3" s="1" t="s">
        <v>59</v>
      </c>
      <c r="G3" s="1" t="s">
        <v>4550</v>
      </c>
      <c r="H3" s="1" t="s">
        <v>4556</v>
      </c>
    </row>
    <row r="4" spans="1:8" ht="22.8">
      <c r="A4" s="1" t="s">
        <v>4632</v>
      </c>
      <c r="B4" s="1" t="s">
        <v>4628</v>
      </c>
      <c r="C4" s="1" t="s">
        <v>4631</v>
      </c>
      <c r="D4" s="1" t="s">
        <v>4552</v>
      </c>
      <c r="E4" s="1" t="s">
        <v>4558</v>
      </c>
      <c r="F4" s="1" t="s">
        <v>59</v>
      </c>
      <c r="G4" s="1" t="s">
        <v>4550</v>
      </c>
      <c r="H4" s="1" t="s">
        <v>4559</v>
      </c>
    </row>
    <row r="5" spans="1:8" ht="22.8">
      <c r="A5" s="1" t="s">
        <v>4633</v>
      </c>
      <c r="B5" s="1" t="s">
        <v>4628</v>
      </c>
      <c r="C5" s="1" t="s">
        <v>4631</v>
      </c>
      <c r="D5" s="1" t="s">
        <v>4562</v>
      </c>
      <c r="E5" s="1" t="s">
        <v>4560</v>
      </c>
      <c r="F5" s="1" t="s">
        <v>59</v>
      </c>
      <c r="G5" s="1" t="s">
        <v>4550</v>
      </c>
      <c r="H5" s="1" t="s">
        <v>4561</v>
      </c>
    </row>
    <row r="6" spans="1:8" ht="34.200000000000003">
      <c r="A6" s="1" t="s">
        <v>4634</v>
      </c>
      <c r="B6" s="1" t="s">
        <v>4628</v>
      </c>
      <c r="C6" s="1" t="s">
        <v>4631</v>
      </c>
      <c r="D6" s="1" t="s">
        <v>4552</v>
      </c>
      <c r="E6" s="1" t="s">
        <v>4563</v>
      </c>
      <c r="F6" s="1" t="s">
        <v>59</v>
      </c>
      <c r="G6" s="1" t="s">
        <v>4550</v>
      </c>
      <c r="H6" s="1" t="s">
        <v>4565</v>
      </c>
    </row>
    <row r="7" spans="1:8" ht="45.6">
      <c r="A7" s="1" t="s">
        <v>4635</v>
      </c>
      <c r="B7" s="1" t="s">
        <v>4628</v>
      </c>
      <c r="C7" s="1" t="s">
        <v>4631</v>
      </c>
      <c r="D7" s="1" t="s">
        <v>4552</v>
      </c>
      <c r="E7" s="1" t="s">
        <v>4566</v>
      </c>
      <c r="F7" s="1" t="s">
        <v>59</v>
      </c>
      <c r="G7" s="1" t="s">
        <v>4550</v>
      </c>
      <c r="H7" s="1" t="s">
        <v>4568</v>
      </c>
    </row>
    <row r="8" spans="1:8" ht="22.8">
      <c r="A8" s="1" t="s">
        <v>4636</v>
      </c>
      <c r="B8" s="1" t="s">
        <v>4628</v>
      </c>
      <c r="C8" s="1" t="s">
        <v>4631</v>
      </c>
      <c r="D8" s="1" t="s">
        <v>4552</v>
      </c>
      <c r="E8" s="1" t="s">
        <v>4569</v>
      </c>
      <c r="F8" s="1" t="s">
        <v>59</v>
      </c>
      <c r="G8" s="1" t="s">
        <v>4550</v>
      </c>
      <c r="H8" s="1" t="s">
        <v>4571</v>
      </c>
    </row>
    <row r="9" spans="1:8" ht="34.200000000000003">
      <c r="A9" s="1" t="s">
        <v>4637</v>
      </c>
      <c r="B9" s="1" t="s">
        <v>4628</v>
      </c>
      <c r="C9" s="1" t="s">
        <v>4638</v>
      </c>
      <c r="D9" s="1" t="s">
        <v>4575</v>
      </c>
      <c r="E9" s="1" t="s">
        <v>4572</v>
      </c>
      <c r="F9" s="1" t="s">
        <v>59</v>
      </c>
      <c r="G9" s="1" t="s">
        <v>4550</v>
      </c>
      <c r="H9" s="1" t="s">
        <v>4574</v>
      </c>
    </row>
    <row r="10" spans="1:8" ht="22.8">
      <c r="A10" s="1" t="s">
        <v>4639</v>
      </c>
      <c r="B10" s="1" t="s">
        <v>4628</v>
      </c>
      <c r="C10" s="1" t="s">
        <v>4640</v>
      </c>
      <c r="D10" s="1" t="s">
        <v>4579</v>
      </c>
      <c r="E10" s="1" t="s">
        <v>4576</v>
      </c>
      <c r="F10" s="1" t="s">
        <v>59</v>
      </c>
      <c r="G10" s="1" t="s">
        <v>4550</v>
      </c>
      <c r="H10" s="1" t="s">
        <v>4578</v>
      </c>
    </row>
    <row r="11" spans="1:8" ht="34.200000000000003">
      <c r="A11" s="1" t="s">
        <v>4641</v>
      </c>
      <c r="B11" s="1" t="s">
        <v>4628</v>
      </c>
      <c r="C11" s="1" t="s">
        <v>4631</v>
      </c>
      <c r="D11" s="1" t="s">
        <v>4583</v>
      </c>
      <c r="E11" s="1" t="s">
        <v>4580</v>
      </c>
      <c r="F11" s="1" t="s">
        <v>59</v>
      </c>
      <c r="G11" s="1" t="s">
        <v>4550</v>
      </c>
      <c r="H11" s="1" t="s">
        <v>4582</v>
      </c>
    </row>
    <row r="12" spans="1:8" ht="45.6">
      <c r="A12" s="1" t="s">
        <v>4642</v>
      </c>
      <c r="B12" s="1" t="s">
        <v>4643</v>
      </c>
      <c r="C12" s="1" t="s">
        <v>4644</v>
      </c>
      <c r="D12" s="1" t="s">
        <v>4645</v>
      </c>
      <c r="E12" s="1" t="s">
        <v>4646</v>
      </c>
      <c r="F12" s="1" t="s">
        <v>59</v>
      </c>
      <c r="G12" s="1" t="s">
        <v>4647</v>
      </c>
      <c r="H12" s="1" t="s">
        <v>4648</v>
      </c>
    </row>
    <row r="13" spans="1:8" ht="79.8">
      <c r="A13" s="1" t="s">
        <v>4649</v>
      </c>
      <c r="B13" s="1" t="s">
        <v>4643</v>
      </c>
      <c r="C13" s="1" t="s">
        <v>1051</v>
      </c>
      <c r="D13" s="1" t="s">
        <v>4650</v>
      </c>
      <c r="E13" s="1" t="s">
        <v>4651</v>
      </c>
      <c r="F13" s="1" t="s">
        <v>59</v>
      </c>
      <c r="G13" s="1" t="s">
        <v>4647</v>
      </c>
      <c r="H13" s="1" t="s">
        <v>4652</v>
      </c>
    </row>
    <row r="14" spans="1:8" ht="57">
      <c r="A14" s="1" t="s">
        <v>4653</v>
      </c>
      <c r="B14" s="1" t="s">
        <v>4643</v>
      </c>
      <c r="C14" s="1" t="s">
        <v>1051</v>
      </c>
      <c r="D14" s="1" t="s">
        <v>4654</v>
      </c>
      <c r="E14" s="1" t="s">
        <v>4655</v>
      </c>
      <c r="F14" s="1" t="s">
        <v>59</v>
      </c>
      <c r="G14" s="1" t="s">
        <v>4647</v>
      </c>
      <c r="H14" s="1" t="s">
        <v>4656</v>
      </c>
    </row>
    <row r="15" spans="1:8" ht="22.8">
      <c r="A15" s="1" t="s">
        <v>4657</v>
      </c>
      <c r="B15" s="1" t="s">
        <v>19</v>
      </c>
      <c r="C15" s="1" t="s">
        <v>4209</v>
      </c>
      <c r="D15" s="1" t="s">
        <v>4217</v>
      </c>
      <c r="E15" s="1" t="s">
        <v>4658</v>
      </c>
      <c r="F15" s="1" t="s">
        <v>59</v>
      </c>
      <c r="G15" s="1" t="s">
        <v>4659</v>
      </c>
      <c r="H15" s="1" t="s">
        <v>4660</v>
      </c>
    </row>
    <row r="16" spans="1:8" ht="22.8">
      <c r="A16" s="1" t="s">
        <v>4661</v>
      </c>
      <c r="B16" s="1" t="s">
        <v>19</v>
      </c>
      <c r="C16" s="1" t="s">
        <v>4209</v>
      </c>
      <c r="D16" s="1" t="s">
        <v>4662</v>
      </c>
      <c r="E16" s="1" t="s">
        <v>4658</v>
      </c>
      <c r="F16" s="1" t="s">
        <v>59</v>
      </c>
      <c r="G16" s="1" t="s">
        <v>4659</v>
      </c>
      <c r="H16" s="1" t="s">
        <v>4660</v>
      </c>
    </row>
    <row r="17" spans="1:8" ht="22.8">
      <c r="A17" s="1" t="s">
        <v>4663</v>
      </c>
      <c r="B17" s="1" t="s">
        <v>19</v>
      </c>
      <c r="C17" s="1" t="s">
        <v>4228</v>
      </c>
      <c r="D17" s="1" t="s">
        <v>4664</v>
      </c>
      <c r="E17" s="1" t="s">
        <v>4665</v>
      </c>
      <c r="F17" s="1" t="s">
        <v>59</v>
      </c>
      <c r="G17" s="1" t="s">
        <v>4659</v>
      </c>
      <c r="H17" s="1" t="s">
        <v>4660</v>
      </c>
    </row>
    <row r="18" spans="1:8" ht="22.8">
      <c r="A18" s="1" t="s">
        <v>4666</v>
      </c>
      <c r="B18" s="1" t="s">
        <v>19</v>
      </c>
      <c r="C18" s="1" t="s">
        <v>4228</v>
      </c>
      <c r="D18" s="1" t="s">
        <v>4667</v>
      </c>
      <c r="E18" s="1" t="s">
        <v>4665</v>
      </c>
      <c r="F18" s="1" t="s">
        <v>59</v>
      </c>
      <c r="G18" s="1" t="s">
        <v>4659</v>
      </c>
      <c r="H18" s="1" t="s">
        <v>4660</v>
      </c>
    </row>
    <row r="19" spans="1:8" ht="22.8">
      <c r="A19" s="1" t="s">
        <v>4668</v>
      </c>
      <c r="B19" s="1" t="s">
        <v>19</v>
      </c>
      <c r="C19" s="1" t="s">
        <v>4228</v>
      </c>
      <c r="D19" s="1" t="s">
        <v>4669</v>
      </c>
      <c r="E19" s="1" t="s">
        <v>4665</v>
      </c>
      <c r="F19" s="1" t="s">
        <v>59</v>
      </c>
      <c r="G19" s="1" t="s">
        <v>4659</v>
      </c>
      <c r="H19" s="1" t="s">
        <v>4660</v>
      </c>
    </row>
    <row r="20" spans="1:8" ht="22.8">
      <c r="A20" s="1" t="s">
        <v>4670</v>
      </c>
      <c r="B20" s="1" t="s">
        <v>19</v>
      </c>
      <c r="C20" s="1" t="s">
        <v>4246</v>
      </c>
      <c r="D20" s="1" t="s">
        <v>4253</v>
      </c>
      <c r="E20" s="1" t="s">
        <v>4671</v>
      </c>
      <c r="F20" s="1" t="s">
        <v>59</v>
      </c>
      <c r="G20" s="1" t="s">
        <v>4659</v>
      </c>
      <c r="H20" s="1" t="s">
        <v>4660</v>
      </c>
    </row>
    <row r="21" spans="1:8" ht="22.8">
      <c r="A21" s="1" t="s">
        <v>4672</v>
      </c>
      <c r="B21" s="1" t="s">
        <v>19</v>
      </c>
      <c r="C21" s="1" t="s">
        <v>4246</v>
      </c>
      <c r="D21" s="1" t="s">
        <v>4673</v>
      </c>
      <c r="E21" s="1" t="s">
        <v>4671</v>
      </c>
      <c r="F21" s="1" t="s">
        <v>59</v>
      </c>
      <c r="G21" s="1" t="s">
        <v>4659</v>
      </c>
      <c r="H21" s="1" t="s">
        <v>4660</v>
      </c>
    </row>
    <row r="22" spans="1:8" ht="22.8">
      <c r="A22" s="1" t="s">
        <v>4674</v>
      </c>
      <c r="B22" s="1" t="s">
        <v>19</v>
      </c>
      <c r="C22" s="1" t="s">
        <v>4265</v>
      </c>
      <c r="D22" s="1" t="s">
        <v>4675</v>
      </c>
      <c r="E22" s="1" t="s">
        <v>4676</v>
      </c>
      <c r="F22" s="1" t="s">
        <v>59</v>
      </c>
      <c r="G22" s="1" t="s">
        <v>4659</v>
      </c>
      <c r="H22" s="1" t="s">
        <v>4660</v>
      </c>
    </row>
    <row r="23" spans="1:8" ht="22.8">
      <c r="A23" s="1" t="s">
        <v>4677</v>
      </c>
      <c r="B23" s="1" t="s">
        <v>19</v>
      </c>
      <c r="C23" s="1" t="s">
        <v>4265</v>
      </c>
      <c r="D23" s="1" t="s">
        <v>4678</v>
      </c>
      <c r="E23" s="1" t="s">
        <v>4676</v>
      </c>
      <c r="F23" s="1" t="s">
        <v>59</v>
      </c>
      <c r="G23" s="1" t="s">
        <v>4659</v>
      </c>
      <c r="H23" s="1" t="s">
        <v>4660</v>
      </c>
    </row>
    <row r="24" spans="1:8" ht="22.8">
      <c r="A24" s="1" t="s">
        <v>4679</v>
      </c>
      <c r="B24" s="1" t="s">
        <v>19</v>
      </c>
      <c r="C24" s="1" t="s">
        <v>4265</v>
      </c>
      <c r="D24" s="1" t="s">
        <v>4680</v>
      </c>
      <c r="E24" s="1" t="s">
        <v>4676</v>
      </c>
      <c r="F24" s="1" t="s">
        <v>59</v>
      </c>
      <c r="G24" s="1" t="s">
        <v>4659</v>
      </c>
      <c r="H24" s="1" t="s">
        <v>4660</v>
      </c>
    </row>
    <row r="25" spans="1:8" ht="22.8">
      <c r="A25" s="1" t="s">
        <v>4681</v>
      </c>
      <c r="B25" s="1" t="s">
        <v>19</v>
      </c>
      <c r="C25" s="1" t="s">
        <v>4283</v>
      </c>
      <c r="D25" s="1" t="s">
        <v>4290</v>
      </c>
      <c r="E25" s="1" t="s">
        <v>4682</v>
      </c>
      <c r="F25" s="1" t="s">
        <v>59</v>
      </c>
      <c r="G25" s="1" t="s">
        <v>4659</v>
      </c>
      <c r="H25" s="1" t="s">
        <v>4660</v>
      </c>
    </row>
    <row r="26" spans="1:8" ht="22.8">
      <c r="A26" s="1" t="s">
        <v>4683</v>
      </c>
      <c r="B26" s="1" t="s">
        <v>19</v>
      </c>
      <c r="C26" s="1" t="s">
        <v>4283</v>
      </c>
      <c r="D26" s="1" t="s">
        <v>4684</v>
      </c>
      <c r="E26" s="1" t="s">
        <v>4682</v>
      </c>
      <c r="F26" s="1" t="s">
        <v>59</v>
      </c>
      <c r="G26" s="1" t="s">
        <v>4659</v>
      </c>
      <c r="H26" s="1" t="s">
        <v>4660</v>
      </c>
    </row>
    <row r="27" spans="1:8" ht="22.8">
      <c r="A27" s="1" t="s">
        <v>4685</v>
      </c>
      <c r="B27" s="1" t="s">
        <v>19</v>
      </c>
      <c r="C27" s="1" t="s">
        <v>4302</v>
      </c>
      <c r="D27" s="1" t="s">
        <v>4309</v>
      </c>
      <c r="E27" s="1" t="s">
        <v>4686</v>
      </c>
      <c r="F27" s="1" t="s">
        <v>59</v>
      </c>
      <c r="G27" s="1" t="s">
        <v>4659</v>
      </c>
      <c r="H27" s="1" t="s">
        <v>4660</v>
      </c>
    </row>
    <row r="28" spans="1:8" ht="22.8">
      <c r="A28" s="1" t="s">
        <v>4687</v>
      </c>
      <c r="B28" s="1" t="s">
        <v>19</v>
      </c>
      <c r="C28" s="1" t="s">
        <v>4302</v>
      </c>
      <c r="D28" s="1" t="s">
        <v>4688</v>
      </c>
      <c r="E28" s="1" t="s">
        <v>4686</v>
      </c>
      <c r="F28" s="1" t="s">
        <v>59</v>
      </c>
      <c r="G28" s="1" t="s">
        <v>4659</v>
      </c>
      <c r="H28" s="1" t="s">
        <v>4660</v>
      </c>
    </row>
    <row r="29" spans="1:8" ht="22.8">
      <c r="A29" s="1" t="s">
        <v>4689</v>
      </c>
      <c r="B29" s="1" t="s">
        <v>19</v>
      </c>
      <c r="C29" s="1" t="s">
        <v>4302</v>
      </c>
      <c r="D29" s="1" t="s">
        <v>4690</v>
      </c>
      <c r="E29" s="1" t="s">
        <v>4686</v>
      </c>
      <c r="F29" s="1" t="s">
        <v>59</v>
      </c>
      <c r="G29" s="1" t="s">
        <v>4659</v>
      </c>
      <c r="H29" s="1" t="s">
        <v>4660</v>
      </c>
    </row>
    <row r="30" spans="1:8" ht="22.8">
      <c r="A30" s="1" t="s">
        <v>4691</v>
      </c>
      <c r="B30" s="1" t="s">
        <v>19</v>
      </c>
      <c r="C30" s="1" t="s">
        <v>4320</v>
      </c>
      <c r="D30" s="1" t="s">
        <v>4327</v>
      </c>
      <c r="E30" s="1" t="s">
        <v>4692</v>
      </c>
      <c r="F30" s="1" t="s">
        <v>59</v>
      </c>
      <c r="G30" s="1" t="s">
        <v>4659</v>
      </c>
      <c r="H30" s="1" t="s">
        <v>4660</v>
      </c>
    </row>
    <row r="31" spans="1:8" ht="22.8">
      <c r="A31" s="1" t="s">
        <v>4693</v>
      </c>
      <c r="B31" s="1" t="s">
        <v>19</v>
      </c>
      <c r="C31" s="1" t="s">
        <v>4320</v>
      </c>
      <c r="D31" s="1" t="s">
        <v>4694</v>
      </c>
      <c r="E31" s="1" t="s">
        <v>4692</v>
      </c>
      <c r="F31" s="1" t="s">
        <v>59</v>
      </c>
      <c r="G31" s="1" t="s">
        <v>4659</v>
      </c>
      <c r="H31" s="1" t="s">
        <v>4660</v>
      </c>
    </row>
    <row r="32" spans="1:8" ht="22.8">
      <c r="A32" s="1" t="s">
        <v>4695</v>
      </c>
      <c r="B32" s="1" t="s">
        <v>19</v>
      </c>
      <c r="C32" s="1" t="s">
        <v>4337</v>
      </c>
      <c r="D32" s="1" t="s">
        <v>4343</v>
      </c>
      <c r="E32" s="1" t="s">
        <v>4696</v>
      </c>
      <c r="F32" s="1" t="s">
        <v>59</v>
      </c>
      <c r="G32" s="1" t="s">
        <v>4659</v>
      </c>
      <c r="H32" s="1" t="s">
        <v>4660</v>
      </c>
    </row>
    <row r="33" spans="1:8" ht="22.8">
      <c r="A33" s="1" t="s">
        <v>4697</v>
      </c>
      <c r="B33" s="1" t="s">
        <v>19</v>
      </c>
      <c r="C33" s="1" t="s">
        <v>4337</v>
      </c>
      <c r="D33" s="1" t="s">
        <v>4698</v>
      </c>
      <c r="E33" s="1" t="s">
        <v>4696</v>
      </c>
      <c r="F33" s="1" t="s">
        <v>59</v>
      </c>
      <c r="G33" s="1" t="s">
        <v>4659</v>
      </c>
      <c r="H33" s="1" t="s">
        <v>4660</v>
      </c>
    </row>
    <row r="34" spans="1:8" ht="22.8">
      <c r="A34" s="1" t="s">
        <v>4699</v>
      </c>
      <c r="B34" s="1" t="s">
        <v>19</v>
      </c>
      <c r="C34" s="1" t="s">
        <v>4355</v>
      </c>
      <c r="D34" s="1" t="s">
        <v>4700</v>
      </c>
      <c r="E34" s="1" t="s">
        <v>4701</v>
      </c>
      <c r="F34" s="1" t="s">
        <v>59</v>
      </c>
      <c r="G34" s="1" t="s">
        <v>4659</v>
      </c>
      <c r="H34" s="1" t="s">
        <v>4660</v>
      </c>
    </row>
    <row r="35" spans="1:8" ht="22.8">
      <c r="A35" s="1" t="s">
        <v>4702</v>
      </c>
      <c r="B35" s="1" t="s">
        <v>19</v>
      </c>
      <c r="C35" s="1" t="s">
        <v>4355</v>
      </c>
      <c r="D35" s="1" t="s">
        <v>4703</v>
      </c>
      <c r="E35" s="1" t="s">
        <v>4701</v>
      </c>
      <c r="F35" s="1" t="s">
        <v>59</v>
      </c>
      <c r="G35" s="1" t="s">
        <v>4659</v>
      </c>
      <c r="H35" s="1" t="s">
        <v>4660</v>
      </c>
    </row>
    <row r="36" spans="1:8" ht="22.8">
      <c r="A36" s="1" t="s">
        <v>4704</v>
      </c>
      <c r="B36" s="1" t="s">
        <v>19</v>
      </c>
      <c r="C36" s="1" t="s">
        <v>4355</v>
      </c>
      <c r="D36" s="1" t="s">
        <v>4705</v>
      </c>
      <c r="E36" s="1" t="s">
        <v>4701</v>
      </c>
      <c r="F36" s="1" t="s">
        <v>59</v>
      </c>
      <c r="G36" s="1" t="s">
        <v>4659</v>
      </c>
      <c r="H36" s="1" t="s">
        <v>4660</v>
      </c>
    </row>
    <row r="37" spans="1:8" ht="22.8">
      <c r="A37" s="1" t="s">
        <v>4706</v>
      </c>
      <c r="B37" s="1" t="s">
        <v>19</v>
      </c>
      <c r="C37" s="1" t="s">
        <v>4372</v>
      </c>
      <c r="D37" s="1" t="s">
        <v>4378</v>
      </c>
      <c r="E37" s="1" t="s">
        <v>4707</v>
      </c>
      <c r="F37" s="1" t="s">
        <v>59</v>
      </c>
      <c r="G37" s="1" t="s">
        <v>4659</v>
      </c>
      <c r="H37" s="1" t="s">
        <v>4660</v>
      </c>
    </row>
    <row r="38" spans="1:8" ht="22.8">
      <c r="A38" s="1" t="s">
        <v>4708</v>
      </c>
      <c r="B38" s="1" t="s">
        <v>19</v>
      </c>
      <c r="C38" s="1" t="s">
        <v>4372</v>
      </c>
      <c r="D38" s="1" t="s">
        <v>4709</v>
      </c>
      <c r="E38" s="1" t="s">
        <v>4707</v>
      </c>
      <c r="F38" s="1" t="s">
        <v>59</v>
      </c>
      <c r="G38" s="1" t="s">
        <v>4659</v>
      </c>
      <c r="H38" s="1" t="s">
        <v>4660</v>
      </c>
    </row>
    <row r="39" spans="1:8" ht="22.8">
      <c r="A39" s="1" t="s">
        <v>4710</v>
      </c>
      <c r="B39" s="1" t="s">
        <v>19</v>
      </c>
      <c r="C39" s="1" t="s">
        <v>4389</v>
      </c>
      <c r="D39" s="1" t="s">
        <v>4395</v>
      </c>
      <c r="E39" s="1" t="s">
        <v>4711</v>
      </c>
      <c r="F39" s="1" t="s">
        <v>59</v>
      </c>
      <c r="G39" s="1" t="s">
        <v>4659</v>
      </c>
      <c r="H39" s="1" t="s">
        <v>4660</v>
      </c>
    </row>
    <row r="40" spans="1:8" ht="22.8">
      <c r="A40" s="1" t="s">
        <v>4712</v>
      </c>
      <c r="B40" s="1" t="s">
        <v>19</v>
      </c>
      <c r="C40" s="1" t="s">
        <v>4389</v>
      </c>
      <c r="D40" s="1" t="s">
        <v>4713</v>
      </c>
      <c r="E40" s="1" t="s">
        <v>4711</v>
      </c>
      <c r="F40" s="1" t="s">
        <v>59</v>
      </c>
      <c r="G40" s="1" t="s">
        <v>4659</v>
      </c>
      <c r="H40" s="1" t="s">
        <v>4660</v>
      </c>
    </row>
    <row r="41" spans="1:8" ht="22.8">
      <c r="A41" s="1" t="s">
        <v>4714</v>
      </c>
      <c r="B41" s="1" t="s">
        <v>19</v>
      </c>
      <c r="C41" s="1" t="s">
        <v>4389</v>
      </c>
      <c r="D41" s="1" t="s">
        <v>4715</v>
      </c>
      <c r="E41" s="1" t="s">
        <v>4711</v>
      </c>
      <c r="F41" s="1" t="s">
        <v>59</v>
      </c>
      <c r="G41" s="1" t="s">
        <v>4659</v>
      </c>
      <c r="H41" s="1" t="s">
        <v>4660</v>
      </c>
    </row>
    <row r="42" spans="1:8" ht="22.8">
      <c r="A42" s="1" t="s">
        <v>4716</v>
      </c>
      <c r="B42" s="1" t="s">
        <v>19</v>
      </c>
      <c r="C42" s="1" t="s">
        <v>4389</v>
      </c>
      <c r="D42" s="1" t="s">
        <v>4717</v>
      </c>
      <c r="E42" s="1" t="s">
        <v>4711</v>
      </c>
      <c r="F42" s="1" t="s">
        <v>59</v>
      </c>
      <c r="G42" s="1" t="s">
        <v>4659</v>
      </c>
      <c r="H42" s="1" t="s">
        <v>4660</v>
      </c>
    </row>
    <row r="43" spans="1:8" ht="22.8">
      <c r="A43" s="1" t="s">
        <v>4718</v>
      </c>
      <c r="B43" s="1" t="s">
        <v>19</v>
      </c>
      <c r="C43" s="1" t="s">
        <v>4389</v>
      </c>
      <c r="D43" s="1" t="s">
        <v>4719</v>
      </c>
      <c r="E43" s="1" t="s">
        <v>4711</v>
      </c>
      <c r="F43" s="1" t="s">
        <v>59</v>
      </c>
      <c r="G43" s="1" t="s">
        <v>4659</v>
      </c>
      <c r="H43" s="1" t="s">
        <v>4660</v>
      </c>
    </row>
    <row r="44" spans="1:8" ht="22.8">
      <c r="A44" s="1" t="s">
        <v>4720</v>
      </c>
      <c r="B44" s="1" t="s">
        <v>19</v>
      </c>
      <c r="C44" s="1" t="s">
        <v>4406</v>
      </c>
      <c r="D44" s="1" t="s">
        <v>4412</v>
      </c>
      <c r="E44" s="1" t="s">
        <v>4721</v>
      </c>
      <c r="F44" s="1" t="s">
        <v>59</v>
      </c>
      <c r="G44" s="1" t="s">
        <v>4659</v>
      </c>
      <c r="H44" s="1" t="s">
        <v>4660</v>
      </c>
    </row>
    <row r="45" spans="1:8" ht="22.8">
      <c r="A45" s="1" t="s">
        <v>4722</v>
      </c>
      <c r="B45" s="1" t="s">
        <v>19</v>
      </c>
      <c r="C45" s="1" t="s">
        <v>4406</v>
      </c>
      <c r="D45" s="1" t="s">
        <v>4723</v>
      </c>
      <c r="E45" s="1" t="s">
        <v>4721</v>
      </c>
      <c r="F45" s="1" t="s">
        <v>59</v>
      </c>
      <c r="G45" s="1" t="s">
        <v>4659</v>
      </c>
      <c r="H45" s="1" t="s">
        <v>4660</v>
      </c>
    </row>
    <row r="46" spans="1:8" ht="22.8">
      <c r="A46" s="1" t="s">
        <v>4724</v>
      </c>
      <c r="B46" s="1" t="s">
        <v>19</v>
      </c>
      <c r="C46" s="1" t="s">
        <v>4406</v>
      </c>
      <c r="D46" s="1" t="s">
        <v>4725</v>
      </c>
      <c r="E46" s="1" t="s">
        <v>4721</v>
      </c>
      <c r="F46" s="1" t="s">
        <v>59</v>
      </c>
      <c r="G46" s="1" t="s">
        <v>4659</v>
      </c>
      <c r="H46" s="1" t="s">
        <v>4660</v>
      </c>
    </row>
    <row r="47" spans="1:8" ht="22.8">
      <c r="A47" s="1" t="s">
        <v>4726</v>
      </c>
      <c r="B47" s="1" t="s">
        <v>19</v>
      </c>
      <c r="C47" s="1" t="s">
        <v>4422</v>
      </c>
      <c r="D47" s="1" t="s">
        <v>4427</v>
      </c>
      <c r="E47" s="1" t="s">
        <v>4727</v>
      </c>
      <c r="F47" s="1" t="s">
        <v>59</v>
      </c>
      <c r="G47" s="1" t="s">
        <v>4659</v>
      </c>
      <c r="H47" s="1" t="s">
        <v>4660</v>
      </c>
    </row>
    <row r="48" spans="1:8" ht="22.8">
      <c r="A48" s="1" t="s">
        <v>4728</v>
      </c>
      <c r="B48" s="1" t="s">
        <v>19</v>
      </c>
      <c r="C48" s="1" t="s">
        <v>4422</v>
      </c>
      <c r="D48" s="1" t="s">
        <v>4729</v>
      </c>
      <c r="E48" s="1" t="s">
        <v>4727</v>
      </c>
      <c r="F48" s="1" t="s">
        <v>59</v>
      </c>
      <c r="G48" s="1" t="s">
        <v>4659</v>
      </c>
      <c r="H48" s="1" t="s">
        <v>4660</v>
      </c>
    </row>
    <row r="49" spans="1:8" ht="22.8">
      <c r="A49" s="1" t="s">
        <v>4730</v>
      </c>
      <c r="B49" s="1" t="s">
        <v>19</v>
      </c>
      <c r="C49" s="1" t="s">
        <v>4436</v>
      </c>
      <c r="D49" s="1" t="s">
        <v>4441</v>
      </c>
      <c r="E49" s="1" t="s">
        <v>4731</v>
      </c>
      <c r="F49" s="1" t="s">
        <v>59</v>
      </c>
      <c r="G49" s="1" t="s">
        <v>4659</v>
      </c>
      <c r="H49" s="1" t="s">
        <v>4660</v>
      </c>
    </row>
    <row r="50" spans="1:8" ht="79.8">
      <c r="A50" s="1" t="s">
        <v>4732</v>
      </c>
      <c r="B50" s="1" t="s">
        <v>19</v>
      </c>
      <c r="C50" s="1" t="s">
        <v>4451</v>
      </c>
      <c r="D50" s="1" t="s">
        <v>4456</v>
      </c>
      <c r="E50" s="1" t="s">
        <v>4733</v>
      </c>
      <c r="F50" s="1" t="s">
        <v>59</v>
      </c>
      <c r="G50" s="1" t="s">
        <v>4659</v>
      </c>
      <c r="H50" s="1" t="s">
        <v>4660</v>
      </c>
    </row>
    <row r="51" spans="1:8" ht="22.8">
      <c r="A51" s="1" t="s">
        <v>4734</v>
      </c>
      <c r="B51" s="1" t="s">
        <v>19</v>
      </c>
      <c r="C51" s="1" t="s">
        <v>4451</v>
      </c>
      <c r="D51" s="1" t="s">
        <v>4735</v>
      </c>
      <c r="E51" s="1" t="s">
        <v>4733</v>
      </c>
      <c r="F51" s="1" t="s">
        <v>59</v>
      </c>
      <c r="G51" s="1" t="s">
        <v>4659</v>
      </c>
      <c r="H51" s="1" t="s">
        <v>4660</v>
      </c>
    </row>
    <row r="52" spans="1:8" ht="22.8">
      <c r="A52" s="1" t="s">
        <v>4736</v>
      </c>
      <c r="B52" s="1" t="s">
        <v>19</v>
      </c>
      <c r="C52" s="1" t="s">
        <v>4462</v>
      </c>
      <c r="D52" s="1" t="s">
        <v>4737</v>
      </c>
      <c r="E52" s="1" t="s">
        <v>4738</v>
      </c>
      <c r="F52" s="1" t="s">
        <v>59</v>
      </c>
      <c r="G52" s="1" t="s">
        <v>4659</v>
      </c>
      <c r="H52" s="1" t="s">
        <v>4660</v>
      </c>
    </row>
    <row r="53" spans="1:8" ht="34.200000000000003">
      <c r="A53" s="1" t="s">
        <v>4739</v>
      </c>
      <c r="B53" s="1" t="s">
        <v>19</v>
      </c>
      <c r="C53" s="1" t="s">
        <v>4462</v>
      </c>
      <c r="D53" s="1" t="s">
        <v>4740</v>
      </c>
      <c r="E53" s="1" t="s">
        <v>4738</v>
      </c>
      <c r="F53" s="1" t="s">
        <v>59</v>
      </c>
      <c r="G53" s="1" t="s">
        <v>4659</v>
      </c>
      <c r="H53" s="1" t="s">
        <v>4660</v>
      </c>
    </row>
    <row r="54" spans="1:8" ht="22.8">
      <c r="A54" s="1" t="s">
        <v>4741</v>
      </c>
      <c r="B54" s="1" t="s">
        <v>19</v>
      </c>
      <c r="C54" s="1" t="s">
        <v>4477</v>
      </c>
      <c r="D54" s="1" t="s">
        <v>4742</v>
      </c>
      <c r="E54" s="1" t="s">
        <v>4743</v>
      </c>
      <c r="F54" s="1" t="s">
        <v>59</v>
      </c>
      <c r="G54" s="1" t="s">
        <v>4659</v>
      </c>
      <c r="H54" s="1" t="s">
        <v>4660</v>
      </c>
    </row>
    <row r="55" spans="1:8" ht="22.8">
      <c r="A55" s="1" t="s">
        <v>4744</v>
      </c>
      <c r="B55" s="1" t="s">
        <v>19</v>
      </c>
      <c r="C55" s="1" t="s">
        <v>4477</v>
      </c>
      <c r="D55" s="1" t="s">
        <v>4745</v>
      </c>
      <c r="E55" s="1" t="s">
        <v>4743</v>
      </c>
      <c r="F55" s="1" t="s">
        <v>59</v>
      </c>
      <c r="G55" s="1" t="s">
        <v>4659</v>
      </c>
      <c r="H55" s="1" t="s">
        <v>4660</v>
      </c>
    </row>
    <row r="56" spans="1:8" ht="22.8">
      <c r="A56" s="1" t="s">
        <v>4746</v>
      </c>
      <c r="B56" s="1" t="s">
        <v>19</v>
      </c>
      <c r="C56" s="1" t="s">
        <v>4477</v>
      </c>
      <c r="D56" s="1" t="s">
        <v>4747</v>
      </c>
      <c r="E56" s="1" t="s">
        <v>4743</v>
      </c>
      <c r="F56" s="1" t="s">
        <v>59</v>
      </c>
      <c r="G56" s="1" t="s">
        <v>4659</v>
      </c>
      <c r="H56" s="1" t="s">
        <v>4660</v>
      </c>
    </row>
    <row r="57" spans="1:8" ht="22.8">
      <c r="A57" s="1" t="s">
        <v>4748</v>
      </c>
      <c r="B57" s="1" t="s">
        <v>19</v>
      </c>
      <c r="C57" s="1" t="s">
        <v>4477</v>
      </c>
      <c r="D57" s="1" t="s">
        <v>4749</v>
      </c>
      <c r="E57" s="1" t="s">
        <v>4743</v>
      </c>
      <c r="F57" s="1" t="s">
        <v>59</v>
      </c>
      <c r="G57" s="1" t="s">
        <v>4659</v>
      </c>
      <c r="H57" s="1" t="s">
        <v>4660</v>
      </c>
    </row>
    <row r="58" spans="1:8" ht="22.8">
      <c r="A58" s="1" t="s">
        <v>4750</v>
      </c>
      <c r="B58" s="1" t="s">
        <v>19</v>
      </c>
      <c r="C58" s="1" t="s">
        <v>4477</v>
      </c>
      <c r="D58" s="1" t="s">
        <v>4751</v>
      </c>
      <c r="E58" s="1" t="s">
        <v>4743</v>
      </c>
      <c r="F58" s="1" t="s">
        <v>59</v>
      </c>
      <c r="G58" s="1" t="s">
        <v>4659</v>
      </c>
      <c r="H58" s="1" t="s">
        <v>4660</v>
      </c>
    </row>
    <row r="59" spans="1:8" ht="22.8">
      <c r="A59" s="1" t="s">
        <v>4752</v>
      </c>
      <c r="B59" s="1" t="s">
        <v>19</v>
      </c>
      <c r="C59" s="1" t="s">
        <v>4492</v>
      </c>
      <c r="D59" s="1" t="s">
        <v>4497</v>
      </c>
      <c r="E59" s="1" t="s">
        <v>4753</v>
      </c>
      <c r="F59" s="1" t="s">
        <v>59</v>
      </c>
      <c r="G59" s="1" t="s">
        <v>4659</v>
      </c>
      <c r="H59" s="1" t="s">
        <v>4660</v>
      </c>
    </row>
    <row r="60" spans="1:8" ht="79.8">
      <c r="A60" s="1" t="s">
        <v>4754</v>
      </c>
      <c r="B60" s="1" t="s">
        <v>19</v>
      </c>
      <c r="C60" s="1" t="s">
        <v>4492</v>
      </c>
      <c r="D60" s="1" t="s">
        <v>4755</v>
      </c>
      <c r="E60" s="1" t="s">
        <v>4753</v>
      </c>
      <c r="F60" s="1" t="s">
        <v>59</v>
      </c>
      <c r="G60" s="1" t="s">
        <v>4659</v>
      </c>
      <c r="H60" s="1" t="s">
        <v>4660</v>
      </c>
    </row>
    <row r="61" spans="1:8" ht="22.8">
      <c r="A61" s="1" t="s">
        <v>4756</v>
      </c>
      <c r="B61" s="1" t="s">
        <v>19</v>
      </c>
      <c r="C61" s="1" t="s">
        <v>4492</v>
      </c>
      <c r="D61" s="1" t="s">
        <v>4757</v>
      </c>
      <c r="E61" s="1" t="s">
        <v>4753</v>
      </c>
      <c r="F61" s="1" t="s">
        <v>59</v>
      </c>
      <c r="G61" s="1" t="s">
        <v>4659</v>
      </c>
      <c r="H61" s="1" t="s">
        <v>4660</v>
      </c>
    </row>
    <row r="62" spans="1:8" ht="22.8">
      <c r="A62" s="1" t="s">
        <v>4758</v>
      </c>
      <c r="B62" s="1" t="s">
        <v>19</v>
      </c>
      <c r="C62" s="1" t="s">
        <v>4505</v>
      </c>
      <c r="D62" s="1" t="s">
        <v>4511</v>
      </c>
      <c r="E62" s="1" t="s">
        <v>4759</v>
      </c>
      <c r="F62" s="1" t="s">
        <v>59</v>
      </c>
      <c r="G62" s="1" t="s">
        <v>4659</v>
      </c>
      <c r="H62" s="1" t="s">
        <v>4660</v>
      </c>
    </row>
    <row r="63" spans="1:8" ht="22.8">
      <c r="A63" s="1" t="s">
        <v>4760</v>
      </c>
      <c r="B63" s="1" t="s">
        <v>19</v>
      </c>
      <c r="C63" s="1" t="s">
        <v>4505</v>
      </c>
      <c r="D63" s="1" t="s">
        <v>4761</v>
      </c>
      <c r="E63" s="1" t="s">
        <v>4759</v>
      </c>
      <c r="F63" s="1" t="s">
        <v>59</v>
      </c>
      <c r="G63" s="1" t="s">
        <v>4659</v>
      </c>
      <c r="H63" s="1" t="s">
        <v>4660</v>
      </c>
    </row>
    <row r="64" spans="1:8" ht="22.8">
      <c r="A64" s="1" t="s">
        <v>4762</v>
      </c>
      <c r="B64" s="1" t="s">
        <v>19</v>
      </c>
      <c r="C64" s="1" t="s">
        <v>4505</v>
      </c>
      <c r="D64" s="1" t="s">
        <v>4763</v>
      </c>
      <c r="E64" s="1" t="s">
        <v>4759</v>
      </c>
      <c r="F64" s="1" t="s">
        <v>59</v>
      </c>
      <c r="G64" s="1" t="s">
        <v>4659</v>
      </c>
      <c r="H64" s="1" t="s">
        <v>4660</v>
      </c>
    </row>
    <row r="65" spans="1:8" ht="22.8">
      <c r="A65" s="1" t="s">
        <v>4764</v>
      </c>
      <c r="B65" s="1" t="s">
        <v>19</v>
      </c>
      <c r="C65" s="1" t="s">
        <v>4517</v>
      </c>
      <c r="D65" s="1" t="s">
        <v>4521</v>
      </c>
      <c r="E65" s="1" t="s">
        <v>4765</v>
      </c>
      <c r="F65" s="1" t="s">
        <v>59</v>
      </c>
      <c r="G65" s="1" t="s">
        <v>4659</v>
      </c>
      <c r="H65" s="1" t="s">
        <v>4660</v>
      </c>
    </row>
    <row r="66" spans="1:8" ht="22.8">
      <c r="A66" s="1" t="s">
        <v>4766</v>
      </c>
      <c r="B66" s="1" t="s">
        <v>19</v>
      </c>
      <c r="C66" s="1" t="s">
        <v>4517</v>
      </c>
      <c r="D66" s="1" t="s">
        <v>4767</v>
      </c>
      <c r="E66" s="1" t="s">
        <v>4765</v>
      </c>
      <c r="F66" s="1" t="s">
        <v>59</v>
      </c>
      <c r="G66" s="1" t="s">
        <v>4659</v>
      </c>
      <c r="H66" s="1" t="s">
        <v>4660</v>
      </c>
    </row>
    <row r="67" spans="1:8" ht="22.8">
      <c r="A67" s="1" t="s">
        <v>4768</v>
      </c>
      <c r="B67" s="1" t="s">
        <v>19</v>
      </c>
      <c r="C67" s="1" t="s">
        <v>4527</v>
      </c>
      <c r="D67" s="1" t="s">
        <v>4531</v>
      </c>
      <c r="E67" s="1" t="s">
        <v>4769</v>
      </c>
      <c r="F67" s="1" t="s">
        <v>59</v>
      </c>
      <c r="G67" s="1" t="s">
        <v>4659</v>
      </c>
      <c r="H67" s="1" t="s">
        <v>4660</v>
      </c>
    </row>
    <row r="68" spans="1:8" ht="22.8">
      <c r="A68" s="1" t="s">
        <v>4770</v>
      </c>
      <c r="B68" s="1" t="s">
        <v>19</v>
      </c>
      <c r="C68" s="1" t="s">
        <v>4527</v>
      </c>
      <c r="D68" s="1" t="s">
        <v>4771</v>
      </c>
      <c r="E68" s="1" t="s">
        <v>4769</v>
      </c>
      <c r="F68" s="1" t="s">
        <v>59</v>
      </c>
      <c r="G68" s="1" t="s">
        <v>4659</v>
      </c>
      <c r="H68" s="1" t="s">
        <v>4660</v>
      </c>
    </row>
    <row r="69" spans="1:8" ht="22.8">
      <c r="A69" s="1" t="s">
        <v>4772</v>
      </c>
      <c r="B69" s="1" t="s">
        <v>19</v>
      </c>
      <c r="C69" s="1" t="s">
        <v>4527</v>
      </c>
      <c r="D69" s="1" t="s">
        <v>4773</v>
      </c>
      <c r="E69" s="1" t="s">
        <v>4769</v>
      </c>
      <c r="F69" s="1" t="s">
        <v>59</v>
      </c>
      <c r="G69" s="1" t="s">
        <v>4659</v>
      </c>
      <c r="H69" s="1" t="s">
        <v>4660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showGridLines="0" workbookViewId="0"/>
  </sheetViews>
  <sheetFormatPr defaultRowHeight="13.8"/>
  <cols>
    <col min="1" max="6" width="22" customWidth="1"/>
  </cols>
  <sheetData>
    <row r="1" spans="1:6">
      <c r="A1" s="7" t="s">
        <v>4774</v>
      </c>
      <c r="B1" s="7" t="s">
        <v>4774</v>
      </c>
      <c r="C1" s="7" t="s">
        <v>4774</v>
      </c>
      <c r="D1" s="7" t="s">
        <v>4774</v>
      </c>
      <c r="E1" s="7" t="s">
        <v>4774</v>
      </c>
      <c r="F1" s="7" t="s">
        <v>4774</v>
      </c>
    </row>
    <row r="2" spans="1:6">
      <c r="A2" s="7" t="s">
        <v>4774</v>
      </c>
      <c r="B2" s="7" t="s">
        <v>4774</v>
      </c>
      <c r="C2" s="7" t="s">
        <v>4774</v>
      </c>
      <c r="D2" s="7" t="s">
        <v>4774</v>
      </c>
      <c r="E2" s="7" t="s">
        <v>4774</v>
      </c>
      <c r="F2" s="7" t="s">
        <v>4774</v>
      </c>
    </row>
    <row r="3" spans="1:6">
      <c r="A3" s="5"/>
      <c r="B3" s="5"/>
      <c r="C3" s="5"/>
      <c r="D3" s="5"/>
      <c r="E3" s="5"/>
      <c r="F3" s="5"/>
    </row>
    <row r="4" spans="1:6">
      <c r="A4" s="29" t="s">
        <v>4775</v>
      </c>
      <c r="B4" s="29"/>
      <c r="C4" s="29"/>
      <c r="D4" s="29"/>
      <c r="E4" s="29"/>
      <c r="F4" s="29"/>
    </row>
    <row r="5" spans="1:6" ht="42" customHeight="1">
      <c r="A5" s="30" t="s">
        <v>4776</v>
      </c>
      <c r="B5" s="30"/>
      <c r="C5" s="30"/>
      <c r="D5" s="30"/>
      <c r="E5" s="30"/>
      <c r="F5" s="30"/>
    </row>
    <row r="6" spans="1:6">
      <c r="A6" s="29" t="s">
        <v>4777</v>
      </c>
      <c r="B6" s="29"/>
      <c r="C6" s="29"/>
      <c r="D6" s="29"/>
      <c r="E6" s="29"/>
      <c r="F6" s="29"/>
    </row>
    <row r="7" spans="1:6" ht="42" customHeight="1">
      <c r="A7" s="30" t="s">
        <v>4778</v>
      </c>
      <c r="B7" s="30"/>
      <c r="C7" s="30"/>
      <c r="D7" s="30"/>
      <c r="E7" s="30"/>
      <c r="F7" s="30"/>
    </row>
    <row r="8" spans="1:6">
      <c r="A8" s="29" t="s">
        <v>4779</v>
      </c>
      <c r="B8" s="29"/>
      <c r="C8" s="29"/>
      <c r="D8" s="29"/>
      <c r="E8" s="29"/>
      <c r="F8" s="29"/>
    </row>
    <row r="9" spans="1:6" ht="42" customHeight="1">
      <c r="A9" s="30" t="s">
        <v>4780</v>
      </c>
      <c r="B9" s="30"/>
      <c r="C9" s="30"/>
      <c r="D9" s="30"/>
      <c r="E9" s="30"/>
      <c r="F9" s="30"/>
    </row>
    <row r="10" spans="1:6">
      <c r="A10" s="29" t="s">
        <v>4781</v>
      </c>
      <c r="B10" s="29"/>
      <c r="C10" s="29"/>
      <c r="D10" s="29"/>
      <c r="E10" s="29"/>
      <c r="F10" s="29"/>
    </row>
    <row r="11" spans="1:6" ht="42" customHeight="1">
      <c r="A11" s="30" t="s">
        <v>4782</v>
      </c>
      <c r="B11" s="30"/>
      <c r="C11" s="30"/>
      <c r="D11" s="30"/>
      <c r="E11" s="30"/>
      <c r="F11" s="30"/>
    </row>
    <row r="12" spans="1:6">
      <c r="A12" s="29" t="s">
        <v>4783</v>
      </c>
      <c r="B12" s="29"/>
      <c r="C12" s="29"/>
      <c r="D12" s="29"/>
      <c r="E12" s="29"/>
      <c r="F12" s="29"/>
    </row>
    <row r="13" spans="1:6" ht="42" customHeight="1">
      <c r="A13" s="30" t="s">
        <v>4784</v>
      </c>
      <c r="B13" s="30"/>
      <c r="C13" s="30"/>
      <c r="D13" s="30"/>
      <c r="E13" s="30"/>
      <c r="F13" s="30"/>
    </row>
    <row r="14" spans="1:6">
      <c r="A14" s="29" t="s">
        <v>4785</v>
      </c>
      <c r="B14" s="29"/>
      <c r="C14" s="29"/>
      <c r="D14" s="29"/>
      <c r="E14" s="29"/>
      <c r="F14" s="29"/>
    </row>
    <row r="15" spans="1:6" ht="42" customHeight="1">
      <c r="A15" s="30" t="s">
        <v>4786</v>
      </c>
      <c r="B15" s="30"/>
      <c r="C15" s="30"/>
      <c r="D15" s="30"/>
      <c r="E15" s="30"/>
      <c r="F15" s="30"/>
    </row>
    <row r="16" spans="1:6">
      <c r="A16" s="29" t="s">
        <v>4787</v>
      </c>
      <c r="B16" s="29"/>
      <c r="C16" s="29"/>
      <c r="D16" s="29"/>
      <c r="E16" s="29"/>
      <c r="F16" s="29"/>
    </row>
    <row r="17" spans="1:6" ht="42" customHeight="1">
      <c r="A17" s="30" t="s">
        <v>4788</v>
      </c>
      <c r="B17" s="30"/>
      <c r="C17" s="30"/>
      <c r="D17" s="30"/>
      <c r="E17" s="30"/>
      <c r="F17" s="30"/>
    </row>
    <row r="18" spans="1:6">
      <c r="A18" s="29" t="s">
        <v>4789</v>
      </c>
      <c r="B18" s="29"/>
      <c r="C18" s="29"/>
      <c r="D18" s="29"/>
      <c r="E18" s="29"/>
      <c r="F18" s="29"/>
    </row>
    <row r="19" spans="1:6" ht="42" customHeight="1">
      <c r="A19" s="30" t="s">
        <v>4790</v>
      </c>
      <c r="B19" s="30"/>
      <c r="C19" s="30"/>
      <c r="D19" s="30"/>
      <c r="E19" s="30"/>
      <c r="F19" s="30"/>
    </row>
    <row r="20" spans="1:6">
      <c r="A20" s="29" t="s">
        <v>4791</v>
      </c>
      <c r="B20" s="29"/>
      <c r="C20" s="29"/>
      <c r="D20" s="29"/>
      <c r="E20" s="29"/>
      <c r="F20" s="29"/>
    </row>
    <row r="21" spans="1:6" ht="42" customHeight="1">
      <c r="A21" s="30" t="s">
        <v>4792</v>
      </c>
      <c r="B21" s="30"/>
      <c r="C21" s="30"/>
      <c r="D21" s="30"/>
      <c r="E21" s="30"/>
      <c r="F21" s="30"/>
    </row>
    <row r="22" spans="1:6">
      <c r="A22" s="29" t="s">
        <v>4793</v>
      </c>
      <c r="B22" s="29"/>
      <c r="C22" s="29"/>
      <c r="D22" s="29"/>
      <c r="E22" s="29"/>
      <c r="F22" s="29"/>
    </row>
    <row r="23" spans="1:6" ht="42" customHeight="1">
      <c r="A23" s="30" t="s">
        <v>4794</v>
      </c>
      <c r="B23" s="30"/>
      <c r="C23" s="30"/>
      <c r="D23" s="30"/>
      <c r="E23" s="30"/>
      <c r="F23" s="30"/>
    </row>
  </sheetData>
  <mergeCells count="21">
    <mergeCell ref="A23:F23"/>
    <mergeCell ref="A18:F18"/>
    <mergeCell ref="A19:F19"/>
    <mergeCell ref="A20:F20"/>
    <mergeCell ref="A21:F21"/>
    <mergeCell ref="A22:F22"/>
    <mergeCell ref="A13:F13"/>
    <mergeCell ref="A14:F14"/>
    <mergeCell ref="A15:F15"/>
    <mergeCell ref="A16:F16"/>
    <mergeCell ref="A17:F17"/>
    <mergeCell ref="A8:F8"/>
    <mergeCell ref="A9:F9"/>
    <mergeCell ref="A10:F10"/>
    <mergeCell ref="A11:F11"/>
    <mergeCell ref="A12:F12"/>
    <mergeCell ref="A1:F2"/>
    <mergeCell ref="A4:F4"/>
    <mergeCell ref="A5:F5"/>
    <mergeCell ref="A6:F6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Резюме</vt:lpstr>
      <vt:lpstr>Торговые точки</vt:lpstr>
      <vt:lpstr>Компании и сети</vt:lpstr>
      <vt:lpstr>Дилеры</vt:lpstr>
      <vt:lpstr>Оценка рынка</vt:lpstr>
      <vt:lpstr>Источники</vt:lpstr>
      <vt:lpstr>Методология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Akylbek Dimash</cp:lastModifiedBy>
  <dcterms:modified xsi:type="dcterms:W3CDTF">2026-08-11T09:26:04Z</dcterms:modified>
</cp:coreProperties>
</file>